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nciliación" sheetId="3" state="visible" r:id="rId3"/>
    <sheet xmlns:r="http://schemas.openxmlformats.org/officeDocument/2006/relationships" name="Facturas vs Odoo" sheetId="4" state="visible" r:id="rId4"/>
    <sheet xmlns:r="http://schemas.openxmlformats.org/officeDocument/2006/relationships" name="Impuestos vs Odoo" sheetId="5" state="visible" r:id="rId5"/>
    <sheet xmlns:r="http://schemas.openxmlformats.org/officeDocument/2006/relationships" name="Desglose fiscal" sheetId="6" state="visible" r:id="rId6"/>
    <sheet xmlns:r="http://schemas.openxmlformats.org/officeDocument/2006/relationships" name="Previo" sheetId="7" state="visible" r:id="rId7"/>
    <sheet xmlns:r="http://schemas.openxmlformats.org/officeDocument/2006/relationships" name="Estado de cuenta" sheetId="8" state="visible" r:id="rId8"/>
    <sheet xmlns:r="http://schemas.openxmlformats.org/officeDocument/2006/relationships" name="Auxiliar Odoo" sheetId="9" state="visible" r:id="rId9"/>
    <sheet xmlns:r="http://schemas.openxmlformats.org/officeDocument/2006/relationships" name="Reglas" sheetId="10" state="visible" r:id="rId10"/>
  </sheets>
  <definedNames>
    <definedName name="_xlnm._FilterDatabase" localSheetId="2" hidden="1">'Conciliación'!$A$7:$AE$114</definedName>
    <definedName name="_xlnm._FilterDatabase" localSheetId="3" hidden="1">'Facturas vs Odoo'!$A$7:$M$94</definedName>
    <definedName name="_xlnm._FilterDatabase" localSheetId="4" hidden="1">'Impuestos vs Odoo'!$A$15:$K$95</definedName>
    <definedName name="_xlnm._FilterDatabase" localSheetId="7" hidden="1">'Estado de cuenta'!$A$7:$G$114</definedName>
    <definedName name="_xlnm._FilterDatabase" localSheetId="8" hidden="1">'Auxiliar Odoo'!$A$7:$H$114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;\(#,##0.00\);\-"/>
    <numFmt numFmtId="165" formatCode="#,##0;\(#,##0\);\-"/>
    <numFmt numFmtId="166" formatCode="m/d/yyyy"/>
    <numFmt numFmtId="167" formatCode="\$#,##0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Lexend"/>
      <charset val="1"/>
      <family val="0"/>
      <b val="1"/>
      <color rgb="FF6FA3AB"/>
      <sz val="9"/>
    </font>
    <font>
      <name val="Lexend"/>
      <charset val="1"/>
      <family val="0"/>
      <b val="1"/>
      <color rgb="FFFFFFFF"/>
      <sz val="18"/>
    </font>
    <font>
      <name val="Lexend"/>
      <charset val="1"/>
      <family val="0"/>
      <color rgb="FFE6F3FB"/>
      <sz val="10"/>
    </font>
    <font>
      <name val="Lexend"/>
      <charset val="1"/>
      <family val="0"/>
      <color rgb="FF595959"/>
      <sz val="10"/>
    </font>
    <font>
      <name val="Lexend"/>
      <charset val="1"/>
      <family val="0"/>
      <b val="1"/>
      <color rgb="FFFFFFFF"/>
      <sz val="16"/>
    </font>
    <font>
      <name val="Lexend"/>
      <charset val="1"/>
      <family val="0"/>
      <color rgb="FF2B2B2B"/>
      <sz val="11"/>
    </font>
    <font>
      <name val="Lexend"/>
      <charset val="1"/>
      <family val="0"/>
      <b val="1"/>
      <color rgb="FF24606C"/>
      <sz val="12"/>
    </font>
    <font>
      <name val="Lexend"/>
      <charset val="1"/>
      <family val="0"/>
      <color rgb="FF2B2B2B"/>
      <sz val="10"/>
    </font>
    <font>
      <name val="Lexend"/>
      <charset val="1"/>
      <family val="0"/>
      <i val="1"/>
      <color rgb="FF595959"/>
      <sz val="9"/>
    </font>
    <font>
      <name val="Lexend"/>
      <charset val="1"/>
      <family val="0"/>
      <color rgb="FF595959"/>
      <sz val="9"/>
    </font>
    <font>
      <name val="Lexend"/>
      <charset val="1"/>
      <family val="0"/>
      <b val="1"/>
      <color rgb="FFFFFFFF"/>
      <sz val="15"/>
    </font>
    <font>
      <name val="Lexend"/>
      <charset val="1"/>
      <family val="0"/>
      <b val="1"/>
      <color rgb="FF452E27"/>
      <sz val="11"/>
    </font>
    <font>
      <name val="Lexend"/>
      <charset val="1"/>
      <family val="0"/>
      <b val="1"/>
      <color rgb="FF2B2B2B"/>
      <sz val="10"/>
    </font>
    <font>
      <name val="Lexend"/>
      <charset val="1"/>
      <family val="0"/>
      <b val="1"/>
      <color rgb="FF24606C"/>
      <sz val="11"/>
    </font>
    <font>
      <name val="Lexend"/>
      <charset val="1"/>
      <family val="0"/>
      <b val="1"/>
      <color rgb="FF18454E"/>
      <sz val="10"/>
    </font>
    <font>
      <name val="Lexend"/>
      <charset val="1"/>
      <family val="0"/>
      <color rgb="FF2B2B2B"/>
      <sz val="9"/>
    </font>
    <font>
      <name val="Lexend"/>
      <charset val="1"/>
      <family val="0"/>
      <b val="1"/>
      <color rgb="FFFFFFFF"/>
      <sz val="10"/>
    </font>
    <font>
      <name val="Lexend"/>
      <charset val="1"/>
      <family val="0"/>
      <b val="1"/>
      <color rgb="FF452E27"/>
      <sz val="10"/>
    </font>
    <font>
      <name val="Lexend"/>
      <charset val="1"/>
      <family val="0"/>
      <b val="1"/>
      <color rgb="FFFFFFFF"/>
      <sz val="9"/>
    </font>
    <font>
      <name val="Lexend"/>
      <charset val="1"/>
      <family val="0"/>
      <b val="1"/>
      <color rgb="FF2B2B2B"/>
      <sz val="9"/>
    </font>
    <font>
      <name val="Lexend"/>
      <charset val="1"/>
      <family val="0"/>
      <b val="1"/>
      <color rgb="FF24606C"/>
      <sz val="10"/>
    </font>
    <font>
      <name val="Lexend"/>
      <charset val="1"/>
      <family val="0"/>
      <i val="1"/>
      <color rgb="FF595959"/>
      <sz val="8"/>
    </font>
    <font>
      <name val="Lexend"/>
      <charset val="1"/>
      <family val="0"/>
      <i val="1"/>
      <color rgb="FF2B2B2B"/>
      <sz val="10"/>
    </font>
    <font>
      <name val="Lexend"/>
      <charset val="1"/>
      <family val="0"/>
      <b val="1"/>
      <color rgb="FF24606C"/>
      <sz val="13"/>
    </font>
    <font>
      <name val="Lexend"/>
      <charset val="1"/>
      <family val="0"/>
      <b val="1"/>
      <color rgb="FFFFFFFF"/>
      <sz val="12"/>
    </font>
    <font>
      <name val="Lexend"/>
      <charset val="1"/>
      <family val="0"/>
      <b val="1"/>
      <color rgb="FFFFFFFF"/>
      <sz val="14"/>
    </font>
    <font>
      <name val="Lexend"/>
      <charset val="1"/>
      <family val="0"/>
      <b val="1"/>
      <color rgb="FFFFFFFF"/>
      <sz val="11"/>
    </font>
    <font>
      <name val="Lexend"/>
      <charset val="1"/>
      <family val="0"/>
      <b val="1"/>
      <color rgb="FF595959"/>
      <sz val="8"/>
    </font>
    <font>
      <name val="Lexend"/>
      <charset val="1"/>
      <family val="0"/>
      <b val="1"/>
      <color rgb="FF595959"/>
      <sz val="9"/>
    </font>
    <font>
      <name val="Lexend"/>
      <charset val="1"/>
      <family val="0"/>
      <b val="1"/>
      <color rgb="FF2B2B2B"/>
      <sz val="11"/>
    </font>
  </fonts>
  <fills count="17">
    <fill>
      <patternFill/>
    </fill>
    <fill>
      <patternFill patternType="gray125"/>
    </fill>
    <fill>
      <patternFill patternType="solid">
        <fgColor rgb="FF24606C"/>
        <bgColor rgb="FF18454E"/>
      </patternFill>
    </fill>
    <fill>
      <patternFill patternType="solid">
        <fgColor rgb="FFE6F3FB"/>
        <bgColor rgb="FFEDEDED"/>
      </patternFill>
    </fill>
    <fill>
      <patternFill patternType="solid">
        <fgColor rgb="FFD5E8EB"/>
        <bgColor rgb="FFCFE3E6"/>
      </patternFill>
    </fill>
    <fill>
      <patternFill patternType="solid">
        <fgColor rgb="FFCFE3E6"/>
        <bgColor rgb="FFC9DEE1"/>
      </patternFill>
    </fill>
    <fill>
      <patternFill patternType="solid">
        <fgColor rgb="FFBFD8DC"/>
        <bgColor rgb="FFB7D1D6"/>
      </patternFill>
    </fill>
    <fill>
      <patternFill patternType="solid">
        <fgColor rgb="FFA9CBD1"/>
        <bgColor rgb="FFB7D1D6"/>
      </patternFill>
    </fill>
    <fill>
      <patternFill patternType="solid">
        <fgColor rgb="FFEADFD9"/>
        <bgColor rgb="FFF4D6D6"/>
      </patternFill>
    </fill>
    <fill>
      <patternFill patternType="solid">
        <fgColor rgb="FFD9C9C1"/>
        <bgColor rgb="FFF4D6D6"/>
      </patternFill>
    </fill>
    <fill>
      <patternFill patternType="solid">
        <fgColor rgb="FFEDEDED"/>
        <bgColor rgb="FFE6F3FB"/>
      </patternFill>
    </fill>
    <fill>
      <patternFill patternType="solid">
        <fgColor rgb="FFB7D1D6"/>
        <bgColor rgb="FFBFD8DC"/>
      </patternFill>
    </fill>
    <fill>
      <patternFill patternType="solid">
        <fgColor rgb="FF6FA3AB"/>
        <bgColor rgb="FF808080"/>
      </patternFill>
    </fill>
    <fill>
      <patternFill patternType="solid">
        <fgColor rgb="FF452E27"/>
        <bgColor rgb="FF2B2B2B"/>
      </patternFill>
    </fill>
    <fill>
      <patternFill patternType="solid">
        <fgColor rgb="FF18454E"/>
        <bgColor rgb="FF24606C"/>
      </patternFill>
    </fill>
    <fill>
      <patternFill patternType="solid">
        <fgColor rgb="FF595959"/>
        <bgColor rgb="FF24606C"/>
      </patternFill>
    </fill>
    <fill>
      <patternFill patternType="solid">
        <fgColor rgb="FFFFFFFF"/>
        <bgColor rgb="FFE6F3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EE1"/>
      </bottom>
      <diagonal/>
    </border>
    <border>
      <left/>
      <right/>
      <top style="medium">
        <color rgb="FF24606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bottom"/>
    </xf>
    <xf numFmtId="0" fontId="11" fillId="11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general" vertical="bottom"/>
    </xf>
    <xf numFmtId="164" fontId="16" fillId="3" borderId="1" applyAlignment="1" pivotButton="0" quotePrefix="0" xfId="0">
      <alignment horizontal="general" vertical="bottom"/>
    </xf>
    <xf numFmtId="165" fontId="16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center" wrapText="1"/>
    </xf>
    <xf numFmtId="0" fontId="20" fillId="12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22" fillId="2" borderId="0" applyAlignment="1" pivotButton="0" quotePrefix="0" xfId="0">
      <alignment horizontal="center" vertical="bottom"/>
    </xf>
    <xf numFmtId="0" fontId="22" fillId="12" borderId="0" applyAlignment="1" pivotButton="0" quotePrefix="0" xfId="0">
      <alignment horizontal="center" vertical="bottom"/>
    </xf>
    <xf numFmtId="0" fontId="22" fillId="13" borderId="0" applyAlignment="1" pivotButton="0" quotePrefix="0" xfId="0">
      <alignment horizontal="center" vertical="bottom"/>
    </xf>
    <xf numFmtId="0" fontId="22" fillId="14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center"/>
    </xf>
    <xf numFmtId="166" fontId="19" fillId="0" borderId="1" applyAlignment="1" pivotButton="0" quotePrefix="0" xfId="0">
      <alignment horizontal="general" vertical="center"/>
    </xf>
    <xf numFmtId="164" fontId="19" fillId="0" borderId="1" applyAlignment="1" pivotButton="0" quotePrefix="0" xfId="0">
      <alignment horizontal="general" vertical="center"/>
    </xf>
    <xf numFmtId="165" fontId="19" fillId="0" borderId="1" applyAlignment="1" pivotButton="0" quotePrefix="0" xfId="0">
      <alignment horizontal="general" vertical="center"/>
    </xf>
    <xf numFmtId="0" fontId="23" fillId="0" borderId="1" applyAlignment="1" pivotButton="0" quotePrefix="0" xfId="0">
      <alignment horizontal="general" vertical="center"/>
    </xf>
    <xf numFmtId="0" fontId="19" fillId="0" borderId="1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bottom"/>
    </xf>
    <xf numFmtId="164" fontId="24" fillId="0" borderId="2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1" fillId="16" borderId="0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24" fillId="0" borderId="2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2" fillId="14" borderId="0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right" vertical="bottom"/>
    </xf>
    <xf numFmtId="165" fontId="1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general" vertical="bottom"/>
    </xf>
    <xf numFmtId="0" fontId="28" fillId="14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167" fontId="29" fillId="14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top" wrapText="1"/>
    </xf>
    <xf numFmtId="0" fontId="22" fillId="14" borderId="0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right" vertical="bottom"/>
    </xf>
    <xf numFmtId="0" fontId="16" fillId="0" borderId="1" applyAlignment="1" pivotButton="0" quotePrefix="0" xfId="0">
      <alignment horizontal="general" vertical="bottom"/>
    </xf>
    <xf numFmtId="0" fontId="30" fillId="1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33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 wrapText="1"/>
    </xf>
    <xf numFmtId="0" fontId="22" fillId="14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center" wrapText="1"/>
    </xf>
    <xf numFmtId="0" fontId="19" fillId="3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19" fillId="7" borderId="1" applyAlignment="1" pivotButton="0" quotePrefix="0" xfId="0">
      <alignment horizontal="general" vertical="bottom"/>
    </xf>
    <xf numFmtId="0" fontId="19" fillId="8" borderId="1" applyAlignment="1" pivotButton="0" quotePrefix="0" xfId="0">
      <alignment horizontal="general" vertical="bottom"/>
    </xf>
    <xf numFmtId="0" fontId="19" fillId="9" borderId="1" applyAlignment="1" pivotButton="0" quotePrefix="0" xfId="0">
      <alignment horizontal="general" vertical="bottom"/>
    </xf>
    <xf numFmtId="0" fontId="19" fillId="16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1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bottom"/>
    </xf>
    <xf numFmtId="0" fontId="11" fillId="11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general" vertical="bottom"/>
    </xf>
    <xf numFmtId="164" fontId="16" fillId="3" borderId="1" applyAlignment="1" pivotButton="0" quotePrefix="0" xfId="0">
      <alignment horizontal="general" vertical="bottom"/>
    </xf>
    <xf numFmtId="165" fontId="16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center" wrapText="1"/>
    </xf>
    <xf numFmtId="0" fontId="20" fillId="12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22" fillId="2" borderId="0" applyAlignment="1" pivotButton="0" quotePrefix="0" xfId="0">
      <alignment horizontal="center" vertical="bottom"/>
    </xf>
    <xf numFmtId="0" fontId="22" fillId="12" borderId="0" applyAlignment="1" pivotButton="0" quotePrefix="0" xfId="0">
      <alignment horizontal="center" vertical="bottom"/>
    </xf>
    <xf numFmtId="0" fontId="22" fillId="13" borderId="0" applyAlignment="1" pivotButton="0" quotePrefix="0" xfId="0">
      <alignment horizontal="center" vertical="bottom"/>
    </xf>
    <xf numFmtId="0" fontId="22" fillId="14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center"/>
    </xf>
    <xf numFmtId="166" fontId="19" fillId="0" borderId="1" applyAlignment="1" pivotButton="0" quotePrefix="0" xfId="0">
      <alignment horizontal="general" vertical="center"/>
    </xf>
    <xf numFmtId="164" fontId="19" fillId="0" borderId="1" applyAlignment="1" pivotButton="0" quotePrefix="0" xfId="0">
      <alignment horizontal="general" vertical="center"/>
    </xf>
    <xf numFmtId="165" fontId="19" fillId="0" borderId="1" applyAlignment="1" pivotButton="0" quotePrefix="0" xfId="0">
      <alignment horizontal="general" vertical="center"/>
    </xf>
    <xf numFmtId="0" fontId="23" fillId="0" borderId="1" applyAlignment="1" pivotButton="0" quotePrefix="0" xfId="0">
      <alignment horizontal="general" vertical="center"/>
    </xf>
    <xf numFmtId="0" fontId="19" fillId="0" borderId="1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bottom"/>
    </xf>
    <xf numFmtId="164" fontId="24" fillId="0" borderId="2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0" fillId="0" borderId="1" pivotButton="0" quotePrefix="0" xfId="0"/>
    <xf numFmtId="0" fontId="26" fillId="0" borderId="1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1" fillId="16" borderId="0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24" fillId="0" borderId="2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2" fillId="14" borderId="0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right" vertical="bottom"/>
    </xf>
    <xf numFmtId="165" fontId="1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general" vertical="bottom"/>
    </xf>
    <xf numFmtId="0" fontId="28" fillId="14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167" fontId="29" fillId="14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top" wrapText="1"/>
    </xf>
    <xf numFmtId="0" fontId="22" fillId="14" borderId="0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right" vertical="bottom"/>
    </xf>
    <xf numFmtId="0" fontId="16" fillId="0" borderId="1" applyAlignment="1" pivotButton="0" quotePrefix="0" xfId="0">
      <alignment horizontal="general" vertical="bottom"/>
    </xf>
    <xf numFmtId="0" fontId="30" fillId="1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33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 wrapText="1"/>
    </xf>
    <xf numFmtId="0" fontId="22" fillId="14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center" wrapText="1"/>
    </xf>
    <xf numFmtId="0" fontId="19" fillId="3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19" fillId="7" borderId="1" applyAlignment="1" pivotButton="0" quotePrefix="0" xfId="0">
      <alignment horizontal="general" vertical="bottom"/>
    </xf>
    <xf numFmtId="0" fontId="19" fillId="8" borderId="1" applyAlignment="1" pivotButton="0" quotePrefix="0" xfId="0">
      <alignment horizontal="general" vertical="bottom"/>
    </xf>
    <xf numFmtId="0" fontId="19" fillId="9" borderId="1" applyAlignment="1" pivotButton="0" quotePrefix="0" xfId="0">
      <alignment horizontal="general" vertical="bottom"/>
    </xf>
    <xf numFmtId="0" fontId="19" fillId="16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1845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B2B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52E27"/>
          <bgColor rgb="FF000000"/>
        </patternFill>
      </fill>
    </dxf>
    <dxf>
      <font>
        <name val="Lexend"/>
        <charset val="1"/>
        <family val="0"/>
        <b val="1"/>
        <color rgb="FF18454E"/>
        <sz val="9"/>
      </font>
      <fill>
        <patternFill>
          <bgColor rgb="FFD5E8EB"/>
        </patternFill>
      </fill>
    </dxf>
    <dxf>
      <font>
        <name val="Lexend"/>
        <charset val="1"/>
        <family val="0"/>
        <b val="1"/>
        <color rgb="FFFFFFFF"/>
        <sz val="9"/>
      </font>
      <fill>
        <patternFill>
          <bgColor rgb="FF6FA3AB"/>
        </patternFill>
      </fill>
    </dxf>
    <dxf>
      <font>
        <name val="Lexend"/>
        <charset val="1"/>
        <family val="0"/>
        <b val="1"/>
        <color rgb="FF452E27"/>
        <sz val="9"/>
      </font>
      <fill>
        <patternFill>
          <bgColor rgb="FFEADFD9"/>
        </patternFill>
      </fill>
    </dxf>
    <dxf>
      <font>
        <name val="Lexend"/>
        <charset val="1"/>
        <family val="0"/>
        <b val="1"/>
        <color rgb="FFFFFFFF"/>
        <sz val="9"/>
      </font>
      <fill>
        <patternFill>
          <bgColor rgb="FF452E27"/>
        </patternFill>
      </fill>
    </dxf>
    <dxf>
      <fill>
        <patternFill>
          <bgColor rgb="FFB7D1D6"/>
        </patternFill>
      </fill>
    </dxf>
    <dxf>
      <fill>
        <patternFill>
          <bgColor rgb="FFE6F3FB"/>
        </patternFill>
      </fill>
    </dxf>
    <dxf>
      <fill>
        <patternFill>
          <bgColor rgb="FFD5E8EB"/>
        </patternFill>
      </fill>
    </dxf>
    <dxf>
      <fill>
        <patternFill>
          <bgColor rgb="FFCFE3E6"/>
        </patternFill>
      </fill>
    </dxf>
    <dxf>
      <fill>
        <patternFill>
          <bgColor rgb="FFBFD8DC"/>
        </patternFill>
      </fill>
    </dxf>
    <dxf>
      <fill>
        <patternFill>
          <bgColor rgb="FFA9CBD1"/>
        </patternFill>
      </fill>
    </dxf>
    <dxf>
      <fill>
        <patternFill>
          <bgColor rgb="FFEADFD9"/>
        </patternFill>
      </fill>
    </dxf>
    <dxf>
      <fill>
        <patternFill>
          <bgColor rgb="FFD9C9C1"/>
        </patternFill>
      </fill>
    </dxf>
    <dxf>
      <fill>
        <patternFill>
          <bgColor rgb="FFEDEDED"/>
        </patternFill>
      </fill>
    </dxf>
    <dxf>
      <font>
        <name val="Lexend"/>
        <charset val="1"/>
        <family val="0"/>
        <b val="1"/>
        <color rgb="FF452E27"/>
        <sz val="9"/>
      </font>
    </dxf>
    <dxf>
      <font>
        <name val="Lexend"/>
        <charset val="1"/>
        <family val="0"/>
        <strike val="1"/>
        <color rgb="FF9B1C1C"/>
        <sz val="9"/>
      </font>
      <fill>
        <patternFill>
          <bgColor rgb="FFF4D6D6"/>
        </patternFill>
      </fill>
    </dxf>
    <dxf>
      <fill>
        <patternFill patternType="solid">
          <fgColor rgb="FFEADFD9"/>
          <bgColor rgb="FF000000"/>
        </patternFill>
      </fill>
    </dxf>
    <dxf>
      <font>
        <name val="Lexend"/>
        <charset val="1"/>
        <family val="0"/>
        <b val="1"/>
        <color rgb="FF24606C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06C"/>
      <rgbColor rgb="FFD9C9C1"/>
      <rgbColor rgb="FF808080"/>
      <rgbColor rgb="FFC9DEE1"/>
      <rgbColor rgb="FF993366"/>
      <rgbColor rgb="FFEDEDED"/>
      <rgbColor rgb="FFE6F3FB"/>
      <rgbColor rgb="FF660066"/>
      <rgbColor rgb="FFFF8080"/>
      <rgbColor rgb="FF0066CC"/>
      <rgbColor rgb="FFB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EB"/>
      <rgbColor rgb="FFCFE3E6"/>
      <rgbColor rgb="FFEADFD9"/>
      <rgbColor rgb="FFA9CBD1"/>
      <rgbColor rgb="FFFF99CC"/>
      <rgbColor rgb="FFB7D1D6"/>
      <rgbColor rgb="FFF4D6D6"/>
      <rgbColor rgb="FF3366FF"/>
      <rgbColor rgb="FF33CCCC"/>
      <rgbColor rgb="FF99CC00"/>
      <rgbColor rgb="FFFFCC00"/>
      <rgbColor rgb="FFFF9900"/>
      <rgbColor rgb="FFFF6600"/>
      <rgbColor rgb="FF595959"/>
      <rgbColor rgb="FF6FA3AB"/>
      <rgbColor rgb="FF18454E"/>
      <rgbColor rgb="FF339966"/>
      <rgbColor rgb="FF003300"/>
      <rgbColor rgb="FF452E27"/>
      <rgbColor rgb="FF9B1C1C"/>
      <rgbColor rgb="FF993366"/>
      <rgbColor rgb="FF333399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264240</colOff>
      <row>1</row>
      <rowOff>275760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264240</colOff>
      <row>1</row>
      <rowOff>275760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279720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5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275760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275760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275760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264240</colOff>
      <row>1</row>
      <rowOff>275760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275760</rowOff>
    </to>
    <pic>
      <nvPicPr>
        <cNvPr id="7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475560</colOff>
      <row>1</row>
      <rowOff>275760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264240</colOff>
      <row>1</row>
      <rowOff>275760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560" cy="55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 filterMode="0">
    <tabColor rgb="FF452E27"/>
    <outlinePr summaryBelow="1" summaryRight="1"/>
    <pageSetUpPr fitToPage="1"/>
  </sheetPr>
  <dimension ref="A1:F40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3" customWidth="1" style="99" min="1" max="1"/>
    <col width="7" customWidth="1" style="99" min="2" max="2"/>
    <col width="110" customWidth="1" style="99" min="3" max="3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</row>
    <row r="2" ht="25.5" customHeight="1" s="100">
      <c r="A2" s="101" t="n"/>
      <c r="B2" s="101" t="n"/>
      <c r="C2" s="103" t="inlineStr">
        <is>
          <t>Cómo usar este libro</t>
        </is>
      </c>
      <c r="D2" s="101" t="n"/>
      <c r="E2" s="101" t="n"/>
      <c r="F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</row>
    <row r="4"/>
    <row r="5" ht="14.25" customHeight="1" s="100">
      <c r="A5" s="105" t="inlineStr">
        <is>
          <t>Léelo una vez. Después solo abres el Resumen y atiendes los renglones que no dicen "Conciliado".</t>
        </is>
      </c>
    </row>
    <row r="6"/>
    <row r="7" ht="33.75" customHeight="1" s="100">
      <c r="B7" s="106" t="n">
        <v>1</v>
      </c>
      <c r="C7" s="107" t="inlineStr">
        <is>
          <t>Abre el Resumen. Si la pregunta 2 dice "Todo conciliado" y las diferencias de la 1 y la 3 son cero, el mes cuadró.</t>
        </is>
      </c>
    </row>
    <row r="8"/>
    <row r="9" ht="33.75" customHeight="1" s="100">
      <c r="B9" s="106" t="n">
        <v>2</v>
      </c>
      <c r="C9" s="107" t="inlineStr">
        <is>
          <t>Si no, ve a la hoja Conciliación y filtra la columna Estatus. Trabaja primero "No identificado" y después "Conciliado (revisar)".</t>
        </is>
      </c>
    </row>
    <row r="10"/>
    <row r="11" ht="33.75" customHeight="1" s="100">
      <c r="B11" s="106" t="n">
        <v>3</v>
      </c>
      <c r="C11" s="107" t="inlineStr">
        <is>
          <t>La columna Observación explica cada renglón. Corrige en Odoo o pide el CFDI; en la siguiente corrida el renglón cambia solo.</t>
        </is>
      </c>
    </row>
    <row r="12"/>
    <row r="13" ht="33.75" customHeight="1" s="100">
      <c r="B13" s="106" t="n">
        <v>4</v>
      </c>
      <c r="C13" s="107" t="inlineStr">
        <is>
          <t>Revisa el Previo, captura lo que está en azul claro (nómina, saldo a favor) y envíalo al cliente.</t>
        </is>
      </c>
    </row>
    <row r="14"/>
    <row r="15"/>
    <row r="16" ht="15" customHeight="1" s="100">
      <c r="C16" s="108" t="inlineStr">
        <is>
          <t>Qué hay en cada hoja</t>
        </is>
      </c>
    </row>
    <row r="17" ht="14.25" customHeight="1" s="100">
      <c r="C17" s="109" t="inlineStr">
        <is>
          <t>Resumen: seis preguntas del mes con su respuesta.</t>
        </is>
      </c>
    </row>
    <row r="18" ht="14.25" customHeight="1" s="100">
      <c r="C18" s="109" t="inlineStr">
        <is>
          <t>Conciliación: banco, Odoo y CFDI en una sola hoja, con el IVA y las retenciones de cada movimiento.</t>
        </is>
      </c>
    </row>
    <row r="19" ht="14.25" customHeight="1" s="100">
      <c r="C19" s="109" t="inlineStr">
        <is>
          <t>Desglose fiscal: IVA y retenciones del mes por tipo de retención, y el cuadre del flujo contra el banco.</t>
        </is>
      </c>
    </row>
    <row r="20" ht="14.25" customHeight="1" s="100">
      <c r="C20" s="109" t="inlineStr">
        <is>
          <t>Previo: el cálculo que se envía al cliente.</t>
        </is>
      </c>
    </row>
    <row r="21" ht="14.25" customHeight="1" s="100">
      <c r="C21" s="109" t="inlineStr">
        <is>
          <t>Facturas vs Odoo: cada CFDI del mes contra su registro en Odoo.</t>
        </is>
      </c>
    </row>
    <row r="22" ht="14.25" customHeight="1" s="100">
      <c r="C22" s="109" t="inlineStr">
        <is>
          <t>Impuestos vs Odoo: el IVA de las cuentas 208.01 y 118.01 de Odoo contra la conciliación, factura por factura.</t>
        </is>
      </c>
    </row>
    <row r="23" ht="14.25" customHeight="1" s="100">
      <c r="C23" s="109" t="inlineStr">
        <is>
          <t>Estado de cuenta: los movimientos del PDF con la carátula a la derecha.</t>
        </is>
      </c>
    </row>
    <row r="24" ht="14.25" customHeight="1" s="100">
      <c r="C24" s="109" t="inlineStr">
        <is>
          <t>Auxiliar Odoo: el auxiliar de bancos tal como se exportó.</t>
        </is>
      </c>
    </row>
    <row r="25" ht="14.25" customHeight="1" s="100">
      <c r="C25" s="109" t="inlineStr">
        <is>
          <t>Reglas: tolerancias, estatus y tabla de retenciones.</t>
        </is>
      </c>
    </row>
    <row r="26"/>
    <row r="27" ht="15" customHeight="1" s="100">
      <c r="C27" s="108" t="inlineStr">
        <is>
          <t>Colores por tipo de retención (solo renglones conciliados)</t>
        </is>
      </c>
    </row>
    <row r="28" ht="14.25" customHeight="1" s="100">
      <c r="C28" s="110" t="inlineStr">
        <is>
          <t>Honorarios</t>
        </is>
      </c>
    </row>
    <row r="29" ht="14.25" customHeight="1" s="100">
      <c r="C29" s="111" t="inlineStr">
        <is>
          <t>Arrendamiento</t>
        </is>
      </c>
    </row>
    <row r="30" ht="14.25" customHeight="1" s="100">
      <c r="C30" s="112" t="inlineStr">
        <is>
          <t>RESICO actividad empresarial</t>
        </is>
      </c>
    </row>
    <row r="31" ht="14.25" customHeight="1" s="100">
      <c r="C31" s="113" t="inlineStr">
        <is>
          <t>RESICO honorarios</t>
        </is>
      </c>
    </row>
    <row r="32" ht="14.25" customHeight="1" s="100">
      <c r="C32" s="114" t="inlineStr">
        <is>
          <t>RESICO arrendamiento</t>
        </is>
      </c>
    </row>
    <row r="33" ht="14.25" customHeight="1" s="100">
      <c r="C33" s="115" t="inlineStr">
        <is>
          <t>Fletes</t>
        </is>
      </c>
    </row>
    <row r="34" ht="14.25" customHeight="1" s="100">
      <c r="C34" s="116" t="inlineStr">
        <is>
          <t>Comisiones</t>
        </is>
      </c>
    </row>
    <row r="35" ht="14.25" customHeight="1" s="100">
      <c r="C35" s="117" t="inlineStr">
        <is>
          <t>Otra retención</t>
        </is>
      </c>
    </row>
    <row r="36" ht="14.25" customHeight="1" s="100">
      <c r="C36" s="118" t="inlineStr">
        <is>
          <t>Cobro o pago parcial</t>
        </is>
      </c>
    </row>
    <row r="37"/>
    <row r="38" ht="24" customHeight="1" s="100">
      <c r="C38" s="119" t="inlineStr">
        <is>
          <t>El color ayuda a ver; la columna "Tipo de retención" es la que sirve para filtrar y sumar. Los renglones en gris claro de la parte del banco son continuación de la misma partida.</t>
        </is>
      </c>
    </row>
    <row r="39"/>
    <row r="40" ht="14.25" customHeight="1" s="100">
      <c r="C40" s="120" t="inlineStr">
        <is>
          <t>Fuentes: estado de cuenta del banco del mes (PDF o Excel); de Odoo, el auxiliar del diario, las facturas del mes y el libro mayor de las cuentas de IVA en flujo; acumulado de XML de Mi Admin con sus complementos de pago.</t>
        </is>
      </c>
    </row>
  </sheetData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I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3" customWidth="1" style="99" min="1" max="1"/>
    <col width="5" customWidth="1" style="99" min="2" max="2"/>
    <col width="40" customWidth="1" style="99" min="3" max="3"/>
    <col width="18" customWidth="1" style="99" min="4" max="4"/>
    <col width="3" customWidth="1" style="99" min="5" max="5"/>
    <col width="5" customWidth="1" style="99" min="6" max="6"/>
    <col width="40" customWidth="1" style="99" min="7" max="7"/>
    <col width="18" customWidth="1" style="99" min="8" max="8"/>
    <col width="3" customWidth="1" style="99" min="9" max="9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  <c r="I1" s="101" t="n"/>
    </row>
    <row r="2" ht="25.5" customHeight="1" s="100">
      <c r="A2" s="101" t="n"/>
      <c r="B2" s="101" t="n"/>
      <c r="C2" s="103" t="inlineStr">
        <is>
          <t>¿Cuadró el mes?</t>
        </is>
      </c>
      <c r="D2" s="101" t="n"/>
      <c r="E2" s="101" t="n"/>
      <c r="F2" s="101" t="n"/>
      <c r="G2" s="101" t="n"/>
      <c r="H2" s="101" t="n"/>
      <c r="I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  <c r="I3" s="101" t="n"/>
    </row>
    <row r="4"/>
    <row r="5" ht="14.25" customHeight="1" s="100">
      <c r="A5" s="105" t="inlineStr">
        <is>
          <t>Cuenta &lt;número&gt; · Periodo &lt;dd/mm/aaaa&gt; al &lt;dd/mm/aaaa&gt;. Todo se calcula solo a partir de las hojas del libro.</t>
        </is>
      </c>
    </row>
    <row r="6"/>
    <row r="7" ht="24" customHeight="1" s="100">
      <c r="B7" s="121" t="inlineStr">
        <is>
          <t>1</t>
        </is>
      </c>
      <c r="C7" s="108" t="inlineStr">
        <is>
          <t>¿El PDF quedó bien leído?</t>
        </is>
      </c>
      <c r="F7" s="121" t="inlineStr">
        <is>
          <t>2</t>
        </is>
      </c>
      <c r="G7" s="108" t="inlineStr">
        <is>
          <t>¿Cómo quedó cada movimiento?</t>
        </is>
      </c>
    </row>
    <row r="8" ht="30" customHeight="1" s="100">
      <c r="C8" s="122">
        <f>IF(AND('Estado de cuenta'!L27=0,'Estado de cuenta'!M27=0),"Sí. Saldos y número de movimientos cuadran con la carátula.","No. Revisa la hoja Estado de cuenta.")</f>
        <v/>
      </c>
      <c r="G8" s="122">
        <f>IF(COUNTIFS(Conciliación!$AL$8:$AL$114,1,Conciliación!$AD$8:$AD$114,"No identificado")+COUNTIFS(Conciliación!$AL$8:$AL$114,1,Conciliación!$AD$8:$AD$114,"Conciliado (revisar)")=0,"Todo conciliado.","Hay "&amp;COUNTIFS(Conciliación!$AL$8:$AL$114,1,Conciliación!$AD$8:$AD$114,"No identificado")&amp;" no identificados y "&amp;COUNTIFS(Conciliación!$AL$8:$AL$114,1,Conciliación!$AD$8:$AD$114,"Conciliado (revisar)")&amp;" por revisar.")</f>
        <v/>
      </c>
    </row>
    <row r="9" ht="14.25" customHeight="1" s="100">
      <c r="C9" s="123" t="inlineStr">
        <is>
          <t>Saldo inicial</t>
        </is>
      </c>
      <c r="D9" s="124">
        <f>'Estado de cuenta'!L16</f>
        <v/>
      </c>
      <c r="G9" s="123" t="inlineStr">
        <is>
          <t>Conciliado</t>
        </is>
      </c>
      <c r="H9" s="125">
        <f>COUNTIFS(Conciliación!$AL$8:$AL$114,1,Conciliación!$AD$8:$AD$114,"Conciliado")</f>
        <v/>
      </c>
    </row>
    <row r="10" ht="14.25" customHeight="1" s="100">
      <c r="C10" s="126" t="inlineStr">
        <is>
          <t>(+) Abonos</t>
        </is>
      </c>
      <c r="D10" s="127">
        <f>'Estado de cuenta'!L24</f>
        <v/>
      </c>
      <c r="G10" s="126" t="inlineStr">
        <is>
          <t>Conciliado (validar)</t>
        </is>
      </c>
      <c r="H10" s="128">
        <f>COUNTIFS(Conciliación!$AL$8:$AL$114,1,Conciliación!$AD$8:$AD$114,"Conciliado (validar)")</f>
        <v/>
      </c>
    </row>
    <row r="11" ht="14.25" customHeight="1" s="100">
      <c r="C11" s="123" t="inlineStr">
        <is>
          <t>(-) Cargos</t>
        </is>
      </c>
      <c r="D11" s="124">
        <f>'Estado de cuenta'!L25</f>
        <v/>
      </c>
      <c r="G11" s="123" t="inlineStr">
        <is>
          <t>Conciliado (revisar)</t>
        </is>
      </c>
      <c r="H11" s="125">
        <f>COUNTIFS(Conciliación!$AL$8:$AL$114,1,Conciliación!$AD$8:$AD$114,"Conciliado (revisar)")</f>
        <v/>
      </c>
    </row>
    <row r="12" ht="14.25" customHeight="1" s="100">
      <c r="C12" s="126" t="inlineStr">
        <is>
          <t>Saldo final calculado</t>
        </is>
      </c>
      <c r="D12" s="127">
        <f>'Estado de cuenta'!L26</f>
        <v/>
      </c>
      <c r="G12" s="126" t="inlineStr">
        <is>
          <t>No identificado</t>
        </is>
      </c>
      <c r="H12" s="128">
        <f>COUNTIFS(Conciliación!$AL$8:$AL$114,1,Conciliación!$AD$8:$AD$114,"No identificado")</f>
        <v/>
      </c>
    </row>
    <row r="13" ht="14.25" customHeight="1" s="100">
      <c r="C13" s="123" t="inlineStr">
        <is>
          <t>Saldo final de la carátula</t>
        </is>
      </c>
      <c r="D13" s="124">
        <f>'Estado de cuenta'!L19</f>
        <v/>
      </c>
      <c r="G13" s="123" t="inlineStr">
        <is>
          <t>Total de partidas</t>
        </is>
      </c>
      <c r="H13" s="125">
        <f>SUM(Conciliación!$AL$8:$AL$114)</f>
        <v/>
      </c>
    </row>
    <row r="14" ht="14.25" customHeight="1" s="100">
      <c r="C14" s="126" t="inlineStr">
        <is>
          <t>Diferencia</t>
        </is>
      </c>
      <c r="D14" s="127">
        <f>'Estado de cuenta'!L27</f>
        <v/>
      </c>
      <c r="G14" s="126" t="inlineStr">
        <is>
          <t>Saldo final Odoo vs banco</t>
        </is>
      </c>
      <c r="H14" s="127">
        <f>'Auxiliar Odoo'!J10</f>
        <v/>
      </c>
    </row>
    <row r="15"/>
    <row r="16"/>
    <row r="17" ht="24" customHeight="1" s="100">
      <c r="B17" s="121" t="inlineStr">
        <is>
          <t>3</t>
        </is>
      </c>
      <c r="C17" s="108" t="inlineStr">
        <is>
          <t>¿Cuánto dinero hay en cada estatus?</t>
        </is>
      </c>
      <c r="F17" s="121" t="inlineStr">
        <is>
          <t>4</t>
        </is>
      </c>
      <c r="G17" s="108" t="inlineStr">
        <is>
          <t>¿Qué alertas fiscales hay?</t>
        </is>
      </c>
    </row>
    <row r="18" ht="30" customHeight="1" s="100">
      <c r="C18" s="122">
        <f>"Importe aplicado a cada estatus, cobros y pagos juntos."</f>
        <v/>
      </c>
      <c r="G18" s="122">
        <f>IF(COUNTIF(Conciliación!$AE$8:$AE$114,"*Alerta*")=0,"Ninguna.","Hay "&amp;COUNTIF(Conciliación!$AE$8:$AE$114,"*Alerta*")&amp;" renglones con alerta: revísalos antes de cerrar.")</f>
        <v/>
      </c>
    </row>
    <row r="19" ht="14.25" customHeight="1" s="100">
      <c r="C19" s="123" t="inlineStr">
        <is>
          <t>Conciliado</t>
        </is>
      </c>
      <c r="D19" s="124">
        <f>SUMIFS(Conciliación!$W$8:$W$114,Conciliación!$AD$8:$AD$114,"Conciliado")</f>
        <v/>
      </c>
      <c r="G19" s="123" t="inlineStr">
        <is>
          <t>PUE cobradas en otro mes o en parcialidades</t>
        </is>
      </c>
      <c r="H19" s="125">
        <f>COUNTIF(Conciliación!$AE$8:$AE$114,"*PUE*")</f>
        <v/>
      </c>
    </row>
    <row r="20" ht="14.25" customHeight="1" s="100">
      <c r="C20" s="126" t="inlineStr">
        <is>
          <t>Conciliado (validar)</t>
        </is>
      </c>
      <c r="D20" s="127">
        <f>SUMIFS(Conciliación!$W$8:$W$114,Conciliación!$AD$8:$AD$114,"Conciliado (validar)")</f>
        <v/>
      </c>
      <c r="G20" s="126" t="inlineStr">
        <is>
          <t>Posibles retenciones omitidas</t>
        </is>
      </c>
      <c r="H20" s="128">
        <f>COUNTIF(Conciliación!$AE$8:$AE$114,"*omitida*")</f>
        <v/>
      </c>
    </row>
    <row r="21" ht="14.25" customHeight="1" s="100">
      <c r="C21" s="123" t="inlineStr">
        <is>
          <t>Conciliado (revisar)</t>
        </is>
      </c>
      <c r="D21" s="124">
        <f>SUMIFS(Conciliación!$W$8:$W$114,Conciliación!$AD$8:$AD$114,"Conciliado (revisar)")</f>
        <v/>
      </c>
      <c r="G21" s="123" t="inlineStr">
        <is>
          <t>Pagos a "COMISIONES" sin CFDI</t>
        </is>
      </c>
      <c r="H21" s="124">
        <f>SUMIFS(Conciliación!$W$8:$W$114,Conciliación!$AE$8:$AE$114,"*COMISIONES*")</f>
        <v/>
      </c>
    </row>
    <row r="22" ht="14.25" customHeight="1" s="100">
      <c r="C22" s="126" t="inlineStr">
        <is>
          <t>No identificado</t>
        </is>
      </c>
      <c r="D22" s="127">
        <f>SUMIFS(Conciliación!$W$8:$W$114,Conciliación!$AD$8:$AD$114,"No identificado")</f>
        <v/>
      </c>
      <c r="G22" s="126" t="inlineStr">
        <is>
          <t>Renglones sin contacto en Odoo</t>
        </is>
      </c>
      <c r="H22" s="128">
        <f>COUNTIFS(Conciliación!$AL$8:$AL$114,1,Conciliación!$F$8:$F$114,"?*",Conciliación!$I$8:$I$114,"")</f>
        <v/>
      </c>
    </row>
    <row r="23" ht="14.25" customHeight="1" s="100">
      <c r="C23" s="123" t="inlineStr">
        <is>
          <t>Flujo explicado, diferencia cobros</t>
        </is>
      </c>
      <c r="D23" s="124">
        <f>'Desglose fiscal'!B43</f>
        <v/>
      </c>
    </row>
    <row r="24" ht="14.25" customHeight="1" s="100">
      <c r="C24" s="126" t="inlineStr">
        <is>
          <t>Flujo explicado, diferencia pagos</t>
        </is>
      </c>
      <c r="D24" s="127">
        <f>'Desglose fiscal'!C43</f>
        <v/>
      </c>
    </row>
    <row r="25"/>
    <row r="26"/>
    <row r="27" ht="24" customHeight="1" s="100">
      <c r="B27" s="121" t="inlineStr">
        <is>
          <t>5</t>
        </is>
      </c>
      <c r="C27" s="108" t="inlineStr">
        <is>
          <t>¿Cuánto se paga este mes?</t>
        </is>
      </c>
      <c r="F27" s="121" t="inlineStr">
        <is>
          <t>6</t>
        </is>
      </c>
      <c r="G27" s="108" t="inlineStr">
        <is>
          <t>¿Odoo dice lo mismo que el SAT y el banco?</t>
        </is>
      </c>
    </row>
    <row r="28" ht="30" customHeight="1" s="100">
      <c r="C28" s="122">
        <f>"Total a pagar según el previo: $"&amp;TEXT(Previo!F36,"#,##0")</f>
        <v/>
      </c>
      <c r="G28" s="122">
        <f>IF(COUNTIF('Facturas vs Odoo'!$L$8:$L$94,"Conciliado")=COUNTA('Facturas vs Odoo'!$L$8:$L$94),"Las facturas del mes cuadran con Odoo.","Hay "&amp;(COUNTA('Facturas vs Odoo'!$L$8:$L$94)-COUNTIF('Facturas vs Odoo'!$L$8:$L$94,"Conciliado"))&amp;" facturas por atender en Odoo.")</f>
        <v/>
      </c>
    </row>
    <row r="29" ht="14.25" customHeight="1" s="100">
      <c r="C29" s="123" t="inlineStr">
        <is>
          <t>ISR retenido</t>
        </is>
      </c>
      <c r="D29" s="125">
        <f>Previo!F16</f>
        <v/>
      </c>
      <c r="G29" s="123" t="inlineStr">
        <is>
          <t>Facturas conciliadas con Odoo</t>
        </is>
      </c>
      <c r="H29" s="125">
        <f>COUNTIF('Facturas vs Odoo'!$L$8:$L$94,"Conciliado")</f>
        <v/>
      </c>
    </row>
    <row r="30" ht="14.25" customHeight="1" s="100">
      <c r="C30" s="126" t="inlineStr">
        <is>
          <t>ISR persona moral</t>
        </is>
      </c>
      <c r="D30" s="128">
        <f>Previo!F22</f>
        <v/>
      </c>
      <c r="G30" s="126" t="inlineStr">
        <is>
          <t>Facturas por revisar o no identificadas</t>
        </is>
      </c>
      <c r="H30" s="128">
        <f>COUNTA('Facturas vs Odoo'!$L$8:$L$94)-COUNTIF('Facturas vs Odoo'!$L$8:$L$94,"Conciliado")</f>
        <v/>
      </c>
    </row>
    <row r="31" ht="14.25" customHeight="1" s="100">
      <c r="C31" s="123" t="inlineStr">
        <is>
          <t>IVA por pagar</t>
        </is>
      </c>
      <c r="D31" s="125">
        <f>Previo!F28</f>
        <v/>
      </c>
      <c r="G31" s="123" t="inlineStr">
        <is>
          <t>IVA trasladado: Odoo menos conciliación</t>
        </is>
      </c>
      <c r="H31" s="124">
        <f>'Impuestos vs Odoo'!G10</f>
        <v/>
      </c>
    </row>
    <row r="32" ht="14.25" customHeight="1" s="100">
      <c r="C32" s="126" t="inlineStr">
        <is>
          <t>IVA a favor del mes</t>
        </is>
      </c>
      <c r="D32" s="128">
        <f>Previo!F29</f>
        <v/>
      </c>
      <c r="G32" s="126" t="inlineStr">
        <is>
          <t>IVA acreditable: Odoo menos conciliación</t>
        </is>
      </c>
      <c r="H32" s="127">
        <f>'Impuestos vs Odoo'!G9</f>
        <v/>
      </c>
    </row>
    <row r="33" ht="14.25" customHeight="1" s="100">
      <c r="C33" s="123" t="inlineStr">
        <is>
          <t>IVA retenido</t>
        </is>
      </c>
      <c r="D33" s="125">
        <f>Previo!F33</f>
        <v/>
      </c>
      <c r="G33" s="123" t="inlineStr">
        <is>
          <t>Reversiones de flujo en Odoo</t>
        </is>
      </c>
      <c r="H33" s="125">
        <f>COUNTIF('Impuestos vs Odoo'!$J$16:$J$95,"*reversión*")</f>
        <v/>
      </c>
    </row>
    <row r="34"/>
    <row r="35"/>
    <row r="36" ht="14.25" customHeight="1" s="100">
      <c r="C36" s="129" t="inlineStr">
        <is>
          <t>Colores del estatus</t>
        </is>
      </c>
    </row>
    <row r="37" ht="27.75" customHeight="1" s="100">
      <c r="C37" s="130" t="inlineStr">
        <is>
          <t>Conciliado</t>
        </is>
      </c>
      <c r="D37" s="131" t="inlineStr">
        <is>
          <t>Banco, Odoo y CFDI coinciden dentro de las tolerancias. Incluye comisiones, impuestos y nómina, que no requieren CFDI individual.</t>
        </is>
      </c>
    </row>
    <row r="38" ht="27.75" customHeight="1" s="100">
      <c r="C38" s="132" t="inlineStr">
        <is>
          <t>Conciliado (validar)</t>
        </is>
      </c>
      <c r="D38" s="131" t="inlineStr">
        <is>
          <t>Un pago que cubre varias facturas, varias facturas en un pago, o un cobro parcial de una factura.</t>
        </is>
      </c>
    </row>
    <row r="39" ht="27.75" customHeight="1" s="100">
      <c r="C39" s="133" t="inlineStr">
        <is>
          <t>Conciliado (revisar)</t>
        </is>
      </c>
      <c r="D39" s="131" t="inlineStr">
        <is>
          <t>Tiene pareja, pero la diferencia pasa de la tolerancia de importe o el desfase pasa de la tolerancia de días.</t>
        </is>
      </c>
    </row>
    <row r="40" ht="27.75" customHeight="1" s="100">
      <c r="C40" s="134" t="inlineStr">
        <is>
          <t>No identificado</t>
        </is>
      </c>
      <c r="D40" s="131" t="inlineStr">
        <is>
          <t>Está en el banco y no en Odoo, está en Odoo y no en el banco, o no tiene CFDI que lo respalde.</t>
        </is>
      </c>
    </row>
  </sheetData>
  <mergeCells count="10">
    <mergeCell ref="D39:H39"/>
    <mergeCell ref="C28:D28"/>
    <mergeCell ref="D37:H37"/>
    <mergeCell ref="D38:H38"/>
    <mergeCell ref="G28:H28"/>
    <mergeCell ref="C18:D18"/>
    <mergeCell ref="G8:H8"/>
    <mergeCell ref="G18:H18"/>
    <mergeCell ref="D40:H40"/>
    <mergeCell ref="C8:D8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AL1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9" activeCellId="0" sqref="N9"/>
    </sheetView>
  </sheetViews>
  <sheetFormatPr baseColWidth="8" defaultColWidth="8.66796875" defaultRowHeight="14.25" zeroHeight="0" outlineLevelRow="0"/>
  <cols>
    <col width="8" customWidth="1" style="99" min="1" max="1"/>
    <col width="10" customWidth="1" style="99" min="2" max="2"/>
    <col width="34" customWidth="1" style="99" min="3" max="3"/>
    <col width="12" customWidth="1" style="99" min="4" max="5"/>
    <col width="8" customWidth="1" style="99" min="6" max="6"/>
    <col width="10" customWidth="1" style="99" min="7" max="7"/>
    <col width="15" customWidth="1" style="99" min="8" max="8"/>
    <col width="24" customWidth="1" style="99" min="9" max="9"/>
    <col width="12" customWidth="1" style="99" min="10" max="11"/>
    <col width="10" customWidth="1" style="99" min="12" max="12"/>
    <col width="8" customWidth="1" style="99" min="13" max="13"/>
    <col width="12" customWidth="1" style="99" min="14" max="14"/>
    <col width="20" customWidth="1" style="99" min="15" max="15"/>
    <col width="10" customWidth="1" style="99" min="16" max="17"/>
    <col width="26" customWidth="1" style="99" min="18" max="18"/>
    <col width="14" customWidth="1" style="99" min="19" max="19"/>
    <col width="7" customWidth="1" style="99" min="20" max="20"/>
    <col width="18" customWidth="1" style="99" min="21" max="21"/>
    <col width="12" customWidth="1" style="99" min="22" max="24"/>
    <col width="11" customWidth="1" style="99" min="25" max="27"/>
    <col width="8" customWidth="1" style="99" min="28" max="28"/>
    <col width="10" customWidth="1" style="99" min="29" max="29"/>
    <col width="16" customWidth="1" style="99" min="30" max="30"/>
    <col width="60" customWidth="1" style="99" min="31" max="31"/>
    <col hidden="1" width="11" customWidth="1" style="99" min="32" max="38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</row>
    <row r="2" ht="25.5" customHeight="1" s="100">
      <c r="A2" s="101" t="n"/>
      <c r="B2" s="101" t="n"/>
      <c r="C2" s="103" t="inlineStr">
        <is>
          <t>Conciliación: banco, Odoo y CFDI</t>
        </is>
      </c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</row>
    <row r="4"/>
    <row r="5" ht="30" customHeight="1" s="100">
      <c r="A5" s="135" t="inlineStr">
        <is>
          <t>Cada renglón es una factura que ampara un movimiento. Si un depósito paga tres facturas, la partida tiene tres renglones y el importe del banco aparece solo en el primero.</t>
        </is>
      </c>
    </row>
    <row r="6" ht="14.25" customHeight="1" s="100">
      <c r="A6" s="136" t="inlineStr">
        <is>
          <t>BANCO</t>
        </is>
      </c>
      <c r="F6" s="137" t="inlineStr">
        <is>
          <t>ODOO</t>
        </is>
      </c>
      <c r="N6" s="138" t="inlineStr">
        <is>
          <t>CFDI</t>
        </is>
      </c>
      <c r="AD6" s="136" t="inlineStr">
        <is>
          <t>RESULTADO</t>
        </is>
      </c>
    </row>
    <row r="7" ht="39.75" customHeight="1" s="100">
      <c r="A7" s="139" t="inlineStr">
        <is>
          <t>Partida</t>
        </is>
      </c>
      <c r="B7" s="139" t="inlineStr">
        <is>
          <t>Fecha banco</t>
        </is>
      </c>
      <c r="C7" s="139" t="inlineStr">
        <is>
          <t>Concepto banco</t>
        </is>
      </c>
      <c r="D7" s="139" t="inlineStr">
        <is>
          <t>Cargo banco</t>
        </is>
      </c>
      <c r="E7" s="139" t="inlineStr">
        <is>
          <t>Abono banco</t>
        </is>
      </c>
      <c r="F7" s="139" t="inlineStr">
        <is>
          <t>Renglón Odoo</t>
        </is>
      </c>
      <c r="G7" s="139" t="inlineStr">
        <is>
          <t>Fecha Odoo</t>
        </is>
      </c>
      <c r="H7" s="139" t="inlineStr">
        <is>
          <t>Asiento Odoo</t>
        </is>
      </c>
      <c r="I7" s="139" t="inlineStr">
        <is>
          <t>Contacto en Odoo</t>
        </is>
      </c>
      <c r="J7" s="139" t="inlineStr">
        <is>
          <t>Cargo Odoo</t>
        </is>
      </c>
      <c r="K7" s="139" t="inlineStr">
        <is>
          <t>Abono Odoo</t>
        </is>
      </c>
      <c r="L7" s="139" t="inlineStr">
        <is>
          <t>Dif. banco vs Odoo</t>
        </is>
      </c>
      <c r="M7" s="139" t="inlineStr">
        <is>
          <t>Días banco vs Odoo</t>
        </is>
      </c>
      <c r="N7" s="139" t="inlineStr">
        <is>
          <t>Enlace</t>
        </is>
      </c>
      <c r="O7" s="139" t="inlineStr">
        <is>
          <t>UUID</t>
        </is>
      </c>
      <c r="P7" s="139" t="inlineStr">
        <is>
          <t>Folio</t>
        </is>
      </c>
      <c r="Q7" s="139" t="inlineStr">
        <is>
          <t>Fecha CFDI</t>
        </is>
      </c>
      <c r="R7" s="139" t="inlineStr">
        <is>
          <t>Cliente o proveedor del CFDI</t>
        </is>
      </c>
      <c r="S7" s="139" t="inlineStr">
        <is>
          <t>RFC</t>
        </is>
      </c>
      <c r="T7" s="139" t="inlineStr">
        <is>
          <t>Método</t>
        </is>
      </c>
      <c r="U7" s="139" t="inlineStr">
        <is>
          <t>Tipo de retención</t>
        </is>
      </c>
      <c r="V7" s="139" t="inlineStr">
        <is>
          <t>Total CFDI</t>
        </is>
      </c>
      <c r="W7" s="139" t="inlineStr">
        <is>
          <t>Importe aplicado</t>
        </is>
      </c>
      <c r="X7" s="139" t="inlineStr">
        <is>
          <t>Base</t>
        </is>
      </c>
      <c r="Y7" s="139" t="inlineStr">
        <is>
          <t>IVA</t>
        </is>
      </c>
      <c r="Z7" s="139" t="inlineStr">
        <is>
          <t>IVA retenido</t>
        </is>
      </c>
      <c r="AA7" s="139" t="inlineStr">
        <is>
          <t>ISR retenido</t>
        </is>
      </c>
      <c r="AB7" s="139" t="inlineStr">
        <is>
          <t>Días banco vs pago CFDI</t>
        </is>
      </c>
      <c r="AC7" s="139" t="inlineStr">
        <is>
          <t>Dif. movimiento vs CFDI</t>
        </is>
      </c>
      <c r="AD7" s="139" t="inlineStr">
        <is>
          <t>Estatus</t>
        </is>
      </c>
      <c r="AE7" s="139" t="inlineStr">
        <is>
          <t>Observación</t>
        </is>
      </c>
      <c r="AF7" s="140" t="inlineStr">
        <is>
          <t>Base CFDI</t>
        </is>
      </c>
      <c r="AG7" s="140" t="inlineStr">
        <is>
          <t>IVA CFDI</t>
        </is>
      </c>
      <c r="AH7" s="140" t="inlineStr">
        <is>
          <t>IVA ret. CFDI</t>
        </is>
      </c>
      <c r="AI7" s="140" t="inlineStr">
        <is>
          <t>ISR ret. CFDI</t>
        </is>
      </c>
      <c r="AJ7" s="140" t="inlineStr">
        <is>
          <t>Tipo</t>
        </is>
      </c>
      <c r="AK7" s="140" t="inlineStr">
        <is>
          <t>Excedente</t>
        </is>
      </c>
      <c r="AL7" s="140" t="inlineStr">
        <is>
          <t>Primera</t>
        </is>
      </c>
    </row>
    <row r="8" ht="24" customHeight="1" s="100">
      <c r="A8" s="141" t="n"/>
      <c r="B8" s="142" t="n"/>
      <c r="C8" s="141" t="n"/>
      <c r="D8" s="143" t="n"/>
      <c r="E8" s="143" t="n"/>
      <c r="F8" s="141" t="n"/>
      <c r="G8" s="142" t="n"/>
      <c r="H8" s="141" t="n"/>
      <c r="I8" s="141" t="n"/>
      <c r="J8" s="143" t="n"/>
      <c r="K8" s="143" t="n"/>
      <c r="L8" s="143">
        <f>IF(OR(F8="",AL8=0),"",(D8+E8)-(J8+K8))</f>
        <v/>
      </c>
      <c r="M8" s="144">
        <f>IF(OR(F8="",AL8=0,B8=""),"",G8-B8)</f>
        <v/>
      </c>
      <c r="N8" s="141" t="n"/>
      <c r="O8" s="141" t="n"/>
      <c r="P8" s="141" t="n"/>
      <c r="Q8" s="142" t="n"/>
      <c r="R8" s="141" t="n"/>
      <c r="S8" s="141" t="n"/>
      <c r="T8" s="141" t="n"/>
      <c r="U8" s="141" t="n"/>
      <c r="V8" s="143" t="n"/>
      <c r="W8" s="143" t="n"/>
      <c r="X8" s="143">
        <f>IF(OR(V8="",V8=0),0,ROUND(W8/V8*AF8,2))</f>
        <v/>
      </c>
      <c r="Y8" s="143">
        <f>IF(OR(V8="",V8=0),0,ROUND(W8/V8*AG8,2))</f>
        <v/>
      </c>
      <c r="Z8" s="143">
        <f>IF(OR(V8="",V8=0),0,ROUND(W8/V8*AH8,2))</f>
        <v/>
      </c>
      <c r="AA8" s="143">
        <f>IF(OR(V8="",V8=0),0,ROUND(W8/V8*AI8,2))</f>
        <v/>
      </c>
      <c r="AB8" s="144" t="n"/>
      <c r="AC8" s="143">
        <f>ROUND(SUMIF($A$8:$A$114,A8,$D$8:$D$114)+SUMIF($A$8:$A$114,A8,$E$8:$E$114)-SUMIF($A$8:$A$114,A8,$W$8:$W$114),2)</f>
        <v/>
      </c>
      <c r="AD8" s="145">
        <f>IF(OR((SUMIF($A$8:$A$114,A8,$D$8:$D$114)+SUMIF($A$8:$A$114,A8,$E$8:$E$114))=0,COUNTIFS($A$8:$A$114,A8,$F$8:$F$114,"?*")=0,N8="Sin CFDI"),"No identificado",IF(OR(ABS(SUMIF($A$8:$A$114,A8,$L$8:$L$114))&gt;Reglas!$C$7,ABS(SUMIF($A$8:$A$114,A8,$M$8:$M$114))&gt;Reglas!$C$8,ABS(AC8)&gt;Reglas!$C$7,ABS(N(AB8))&gt;Reglas!$C$8),"Conciliado (revisar)",IF(OR(N8="Varios CFDI",N8="Parcial"),"Conciliado (validar)","Conciliado")))</f>
        <v/>
      </c>
      <c r="AE8" s="146" t="n"/>
      <c r="AF8" s="143" t="n"/>
      <c r="AG8" s="143" t="n"/>
      <c r="AH8" s="143" t="n"/>
      <c r="AI8" s="143" t="n"/>
      <c r="AJ8" s="141" t="n"/>
      <c r="AK8" s="143">
        <f>IF(AL8=1,ROUND(SUMIF($A$8:$A$114,A8,$D$8:$D$114)+SUMIF($A$8:$A$114,A8,$E$8:$E$114)-SUMIF($A$8:$A$114,A8,$W$8:$W$114),2),0)</f>
        <v/>
      </c>
      <c r="AL8" s="144" t="n"/>
    </row>
    <row r="9" ht="22.5" customHeight="1" s="100">
      <c r="A9" s="141" t="n"/>
      <c r="B9" s="142" t="n"/>
      <c r="C9" s="141" t="n"/>
      <c r="D9" s="143" t="n"/>
      <c r="E9" s="143" t="n"/>
      <c r="F9" s="141" t="n"/>
      <c r="G9" s="142" t="n"/>
      <c r="H9" s="141" t="n"/>
      <c r="I9" s="141" t="n"/>
      <c r="J9" s="143" t="n"/>
      <c r="K9" s="143" t="n"/>
      <c r="L9" s="143">
        <f>IF(OR(F9="",AL9=0),"",(D9+E9)-(J9+K9))</f>
        <v/>
      </c>
      <c r="M9" s="144">
        <f>IF(OR(F9="",AL9=0,B9=""),"",G9-B9)</f>
        <v/>
      </c>
      <c r="N9" s="141" t="n"/>
      <c r="O9" s="141" t="n"/>
      <c r="P9" s="141" t="n"/>
      <c r="Q9" s="142" t="n"/>
      <c r="R9" s="141" t="n"/>
      <c r="S9" s="141" t="n"/>
      <c r="T9" s="141" t="n"/>
      <c r="U9" s="141" t="n"/>
      <c r="V9" s="143" t="n"/>
      <c r="W9" s="143" t="n"/>
      <c r="X9" s="143">
        <f>IF(OR(V9="",V9=0),0,ROUND(W9/V9*AF9,2))</f>
        <v/>
      </c>
      <c r="Y9" s="143">
        <f>IF(OR(V9="",V9=0),0,ROUND(W9/V9*AG9,2))</f>
        <v/>
      </c>
      <c r="Z9" s="143">
        <f>IF(OR(V9="",V9=0),0,ROUND(W9/V9*AH9,2))</f>
        <v/>
      </c>
      <c r="AA9" s="143">
        <f>IF(OR(V9="",V9=0),0,ROUND(W9/V9*AI9,2))</f>
        <v/>
      </c>
      <c r="AB9" s="144" t="n"/>
      <c r="AC9" s="143">
        <f>ROUND(SUMIF($A$8:$A$114,A9,$D$8:$D$114)+SUMIF($A$8:$A$114,A9,$E$8:$E$114)-SUMIF($A$8:$A$114,A9,$W$8:$W$114),2)</f>
        <v/>
      </c>
      <c r="AD9" s="145">
        <f>IF(OR((SUMIF($A$8:$A$114,A9,$D$8:$D$114)+SUMIF($A$8:$A$114,A9,$E$8:$E$114))=0,COUNTIFS($A$8:$A$114,A9,$F$8:$F$114,"?*")=0,N9="Sin CFDI"),"No identificado",IF(OR(ABS(SUMIF($A$8:$A$114,A9,$L$8:$L$114))&gt;Reglas!$C$7,ABS(SUMIF($A$8:$A$114,A9,$M$8:$M$114))&gt;Reglas!$C$8,ABS(AC9)&gt;Reglas!$C$7,ABS(N(AB9))&gt;Reglas!$C$8),"Conciliado (revisar)",IF(OR(N9="Varios CFDI",N9="Parcial"),"Conciliado (validar)","Conciliado")))</f>
        <v/>
      </c>
      <c r="AE9" s="146" t="n"/>
      <c r="AF9" s="143" t="n"/>
      <c r="AG9" s="143" t="n"/>
      <c r="AH9" s="143" t="n"/>
      <c r="AI9" s="143" t="n"/>
      <c r="AJ9" s="141" t="n"/>
      <c r="AK9" s="143">
        <f>IF(AL9=1,ROUND(SUMIF($A$8:$A$114,A9,$D$8:$D$114)+SUMIF($A$8:$A$114,A9,$E$8:$E$114)-SUMIF($A$8:$A$114,A9,$W$8:$W$114),2),0)</f>
        <v/>
      </c>
      <c r="AL9" s="144" t="n"/>
    </row>
    <row r="10" ht="22.5" customHeight="1" s="100">
      <c r="A10" s="141" t="n"/>
      <c r="B10" s="142" t="n"/>
      <c r="C10" s="141" t="n"/>
      <c r="D10" s="143" t="n"/>
      <c r="E10" s="143" t="n"/>
      <c r="F10" s="141" t="n"/>
      <c r="G10" s="142" t="n"/>
      <c r="H10" s="141" t="n"/>
      <c r="I10" s="141" t="n"/>
      <c r="J10" s="143" t="n"/>
      <c r="K10" s="143" t="n"/>
      <c r="L10" s="143">
        <f>IF(OR(F10="",AL10=0),"",(D10+E10)-(J10+K10))</f>
        <v/>
      </c>
      <c r="M10" s="144">
        <f>IF(OR(F10="",AL10=0,B10=""),"",G10-B10)</f>
        <v/>
      </c>
      <c r="N10" s="141" t="n"/>
      <c r="O10" s="141" t="n"/>
      <c r="P10" s="141" t="n"/>
      <c r="Q10" s="142" t="n"/>
      <c r="R10" s="141" t="n"/>
      <c r="S10" s="141" t="n"/>
      <c r="T10" s="141" t="n"/>
      <c r="U10" s="141" t="n"/>
      <c r="V10" s="143" t="n"/>
      <c r="W10" s="143" t="n"/>
      <c r="X10" s="143">
        <f>IF(OR(V10="",V10=0),0,ROUND(W10/V10*AF10,2))</f>
        <v/>
      </c>
      <c r="Y10" s="143">
        <f>IF(OR(V10="",V10=0),0,ROUND(W10/V10*AG10,2))</f>
        <v/>
      </c>
      <c r="Z10" s="143">
        <f>IF(OR(V10="",V10=0),0,ROUND(W10/V10*AH10,2))</f>
        <v/>
      </c>
      <c r="AA10" s="143">
        <f>IF(OR(V10="",V10=0),0,ROUND(W10/V10*AI10,2))</f>
        <v/>
      </c>
      <c r="AB10" s="144" t="n"/>
      <c r="AC10" s="143">
        <f>ROUND(SUMIF($A$8:$A$114,A10,$D$8:$D$114)+SUMIF($A$8:$A$114,A10,$E$8:$E$114)-SUMIF($A$8:$A$114,A10,$W$8:$W$114),2)</f>
        <v/>
      </c>
      <c r="AD10" s="145">
        <f>IF(OR((SUMIF($A$8:$A$114,A10,$D$8:$D$114)+SUMIF($A$8:$A$114,A10,$E$8:$E$114))=0,COUNTIFS($A$8:$A$114,A10,$F$8:$F$114,"?*")=0,N10="Sin CFDI"),"No identificado",IF(OR(ABS(SUMIF($A$8:$A$114,A10,$L$8:$L$114))&gt;Reglas!$C$7,ABS(SUMIF($A$8:$A$114,A10,$M$8:$M$114))&gt;Reglas!$C$8,ABS(AC10)&gt;Reglas!$C$7,ABS(N(AB10))&gt;Reglas!$C$8),"Conciliado (revisar)",IF(OR(N10="Varios CFDI",N10="Parcial"),"Conciliado (validar)","Conciliado")))</f>
        <v/>
      </c>
      <c r="AE10" s="146" t="n"/>
      <c r="AF10" s="143" t="n"/>
      <c r="AG10" s="143" t="n"/>
      <c r="AH10" s="143" t="n"/>
      <c r="AI10" s="143" t="n"/>
      <c r="AJ10" s="141" t="n"/>
      <c r="AK10" s="143">
        <f>IF(AL10=1,ROUND(SUMIF($A$8:$A$114,A10,$D$8:$D$114)+SUMIF($A$8:$A$114,A10,$E$8:$E$114)-SUMIF($A$8:$A$114,A10,$W$8:$W$114),2),0)</f>
        <v/>
      </c>
      <c r="AL10" s="144" t="n"/>
    </row>
    <row r="11" ht="36" customHeight="1" s="100">
      <c r="A11" s="141" t="n"/>
      <c r="B11" s="142" t="n"/>
      <c r="C11" s="141" t="n"/>
      <c r="D11" s="143" t="n"/>
      <c r="E11" s="143" t="n"/>
      <c r="F11" s="141" t="n"/>
      <c r="G11" s="142" t="n"/>
      <c r="H11" s="141" t="n"/>
      <c r="I11" s="141" t="n"/>
      <c r="J11" s="143" t="n"/>
      <c r="K11" s="143" t="n"/>
      <c r="L11" s="143">
        <f>IF(OR(F11="",AL11=0),"",(D11+E11)-(J11+K11))</f>
        <v/>
      </c>
      <c r="M11" s="144">
        <f>IF(OR(F11="",AL11=0,B11=""),"",G11-B11)</f>
        <v/>
      </c>
      <c r="N11" s="141" t="n"/>
      <c r="O11" s="141" t="n"/>
      <c r="P11" s="141" t="n"/>
      <c r="Q11" s="142" t="n"/>
      <c r="R11" s="141" t="n"/>
      <c r="S11" s="141" t="n"/>
      <c r="T11" s="141" t="n"/>
      <c r="U11" s="141" t="n"/>
      <c r="V11" s="143" t="n"/>
      <c r="W11" s="143" t="n"/>
      <c r="X11" s="143">
        <f>IF(OR(V11="",V11=0),0,ROUND(W11/V11*AF11,2))</f>
        <v/>
      </c>
      <c r="Y11" s="143">
        <f>IF(OR(V11="",V11=0),0,ROUND(W11/V11*AG11,2))</f>
        <v/>
      </c>
      <c r="Z11" s="143">
        <f>IF(OR(V11="",V11=0),0,ROUND(W11/V11*AH11,2))</f>
        <v/>
      </c>
      <c r="AA11" s="143">
        <f>IF(OR(V11="",V11=0),0,ROUND(W11/V11*AI11,2))</f>
        <v/>
      </c>
      <c r="AB11" s="144" t="n"/>
      <c r="AC11" s="143">
        <f>ROUND(SUMIF($A$8:$A$114,A11,$D$8:$D$114)+SUMIF($A$8:$A$114,A11,$E$8:$E$114)-SUMIF($A$8:$A$114,A11,$W$8:$W$114),2)</f>
        <v/>
      </c>
      <c r="AD11" s="145">
        <f>IF(OR((SUMIF($A$8:$A$114,A11,$D$8:$D$114)+SUMIF($A$8:$A$114,A11,$E$8:$E$114))=0,COUNTIFS($A$8:$A$114,A11,$F$8:$F$114,"?*")=0,N11="Sin CFDI"),"No identificado",IF(OR(ABS(SUMIF($A$8:$A$114,A11,$L$8:$L$114))&gt;Reglas!$C$7,ABS(SUMIF($A$8:$A$114,A11,$M$8:$M$114))&gt;Reglas!$C$8,ABS(AC11)&gt;Reglas!$C$7,ABS(N(AB11))&gt;Reglas!$C$8),"Conciliado (revisar)",IF(OR(N11="Varios CFDI",N11="Parcial"),"Conciliado (validar)","Conciliado")))</f>
        <v/>
      </c>
      <c r="AE11" s="146" t="n"/>
      <c r="AF11" s="143" t="n"/>
      <c r="AG11" s="143" t="n"/>
      <c r="AH11" s="143" t="n"/>
      <c r="AI11" s="143" t="n"/>
      <c r="AJ11" s="141" t="n"/>
      <c r="AK11" s="143">
        <f>IF(AL11=1,ROUND(SUMIF($A$8:$A$114,A11,$D$8:$D$114)+SUMIF($A$8:$A$114,A11,$E$8:$E$114)-SUMIF($A$8:$A$114,A11,$W$8:$W$114),2),0)</f>
        <v/>
      </c>
      <c r="AL11" s="144" t="n"/>
    </row>
    <row r="12" ht="36" customHeight="1" s="100">
      <c r="A12" s="141" t="n"/>
      <c r="B12" s="142" t="n"/>
      <c r="C12" s="141" t="n"/>
      <c r="D12" s="143" t="n"/>
      <c r="E12" s="143" t="n"/>
      <c r="F12" s="141" t="n"/>
      <c r="G12" s="142" t="n"/>
      <c r="H12" s="141" t="n"/>
      <c r="I12" s="141" t="n"/>
      <c r="J12" s="143" t="n"/>
      <c r="K12" s="143" t="n"/>
      <c r="L12" s="143">
        <f>IF(OR(F12="",AL12=0),"",(D12+E12)-(J12+K12))</f>
        <v/>
      </c>
      <c r="M12" s="144">
        <f>IF(OR(F12="",AL12=0,B12=""),"",G12-B12)</f>
        <v/>
      </c>
      <c r="N12" s="141" t="n"/>
      <c r="O12" s="141" t="n"/>
      <c r="P12" s="141" t="n"/>
      <c r="Q12" s="142" t="n"/>
      <c r="R12" s="141" t="n"/>
      <c r="S12" s="141" t="n"/>
      <c r="T12" s="141" t="n"/>
      <c r="U12" s="141" t="n"/>
      <c r="V12" s="143" t="n"/>
      <c r="W12" s="143" t="n"/>
      <c r="X12" s="143">
        <f>IF(OR(V12="",V12=0),0,ROUND(W12/V12*AF12,2))</f>
        <v/>
      </c>
      <c r="Y12" s="143">
        <f>IF(OR(V12="",V12=0),0,ROUND(W12/V12*AG12,2))</f>
        <v/>
      </c>
      <c r="Z12" s="143">
        <f>IF(OR(V12="",V12=0),0,ROUND(W12/V12*AH12,2))</f>
        <v/>
      </c>
      <c r="AA12" s="143">
        <f>IF(OR(V12="",V12=0),0,ROUND(W12/V12*AI12,2))</f>
        <v/>
      </c>
      <c r="AB12" s="144" t="n"/>
      <c r="AC12" s="143">
        <f>ROUND(SUMIF($A$8:$A$114,A12,$D$8:$D$114)+SUMIF($A$8:$A$114,A12,$E$8:$E$114)-SUMIF($A$8:$A$114,A12,$W$8:$W$114),2)</f>
        <v/>
      </c>
      <c r="AD12" s="145">
        <f>IF(OR((SUMIF($A$8:$A$114,A12,$D$8:$D$114)+SUMIF($A$8:$A$114,A12,$E$8:$E$114))=0,COUNTIFS($A$8:$A$114,A12,$F$8:$F$114,"?*")=0,N12="Sin CFDI"),"No identificado",IF(OR(ABS(SUMIF($A$8:$A$114,A12,$L$8:$L$114))&gt;Reglas!$C$7,ABS(SUMIF($A$8:$A$114,A12,$M$8:$M$114))&gt;Reglas!$C$8,ABS(AC12)&gt;Reglas!$C$7,ABS(N(AB12))&gt;Reglas!$C$8),"Conciliado (revisar)",IF(OR(N12="Varios CFDI",N12="Parcial"),"Conciliado (validar)","Conciliado")))</f>
        <v/>
      </c>
      <c r="AE12" s="146" t="n"/>
      <c r="AF12" s="143" t="n"/>
      <c r="AG12" s="143" t="n"/>
      <c r="AH12" s="143" t="n"/>
      <c r="AI12" s="143" t="n"/>
      <c r="AJ12" s="141" t="n"/>
      <c r="AK12" s="143">
        <f>IF(AL12=1,ROUND(SUMIF($A$8:$A$114,A12,$D$8:$D$114)+SUMIF($A$8:$A$114,A12,$E$8:$E$114)-SUMIF($A$8:$A$114,A12,$W$8:$W$114),2),0)</f>
        <v/>
      </c>
      <c r="AL12" s="144" t="n"/>
    </row>
    <row r="13" ht="14.25" customHeight="1" s="100">
      <c r="A13" s="141" t="n"/>
      <c r="B13" s="142" t="n"/>
      <c r="C13" s="141" t="n"/>
      <c r="D13" s="143" t="n"/>
      <c r="E13" s="143" t="n"/>
      <c r="F13" s="141" t="n"/>
      <c r="G13" s="142" t="n"/>
      <c r="H13" s="141" t="n"/>
      <c r="I13" s="141" t="n"/>
      <c r="J13" s="143" t="n"/>
      <c r="K13" s="143" t="n"/>
      <c r="L13" s="143">
        <f>IF(OR(F13="",AL13=0),"",(D13+E13)-(J13+K13))</f>
        <v/>
      </c>
      <c r="M13" s="144">
        <f>IF(OR(F13="",AL13=0,B13=""),"",G13-B13)</f>
        <v/>
      </c>
      <c r="N13" s="141" t="n"/>
      <c r="O13" s="141" t="n"/>
      <c r="P13" s="141" t="n"/>
      <c r="Q13" s="142" t="n"/>
      <c r="R13" s="141" t="n"/>
      <c r="S13" s="141" t="n"/>
      <c r="T13" s="141" t="n"/>
      <c r="U13" s="141" t="n"/>
      <c r="V13" s="143" t="n"/>
      <c r="W13" s="143" t="n"/>
      <c r="X13" s="143">
        <f>IF(OR(V13="",V13=0),0,ROUND(W13/V13*AF13,2))</f>
        <v/>
      </c>
      <c r="Y13" s="143">
        <f>IF(OR(V13="",V13=0),0,ROUND(W13/V13*AG13,2))</f>
        <v/>
      </c>
      <c r="Z13" s="143">
        <f>IF(OR(V13="",V13=0),0,ROUND(W13/V13*AH13,2))</f>
        <v/>
      </c>
      <c r="AA13" s="143">
        <f>IF(OR(V13="",V13=0),0,ROUND(W13/V13*AI13,2))</f>
        <v/>
      </c>
      <c r="AB13" s="144" t="n"/>
      <c r="AC13" s="143">
        <f>ROUND(SUMIF($A$8:$A$114,A13,$D$8:$D$114)+SUMIF($A$8:$A$114,A13,$E$8:$E$114)-SUMIF($A$8:$A$114,A13,$W$8:$W$114),2)</f>
        <v/>
      </c>
      <c r="AD13" s="145">
        <f>IF(OR((SUMIF($A$8:$A$114,A13,$D$8:$D$114)+SUMIF($A$8:$A$114,A13,$E$8:$E$114))=0,COUNTIFS($A$8:$A$114,A13,$F$8:$F$114,"?*")=0,N13="Sin CFDI"),"No identificado",IF(OR(ABS(SUMIF($A$8:$A$114,A13,$L$8:$L$114))&gt;Reglas!$C$7,ABS(SUMIF($A$8:$A$114,A13,$M$8:$M$114))&gt;Reglas!$C$8,ABS(AC13)&gt;Reglas!$C$7,ABS(N(AB13))&gt;Reglas!$C$8),"Conciliado (revisar)",IF(OR(N13="Varios CFDI",N13="Parcial"),"Conciliado (validar)","Conciliado")))</f>
        <v/>
      </c>
      <c r="AE13" s="146" t="n"/>
      <c r="AF13" s="143" t="n"/>
      <c r="AG13" s="143" t="n"/>
      <c r="AH13" s="143" t="n"/>
      <c r="AI13" s="143" t="n"/>
      <c r="AJ13" s="141" t="n"/>
      <c r="AK13" s="143">
        <f>IF(AL13=1,ROUND(SUMIF($A$8:$A$114,A13,$D$8:$D$114)+SUMIF($A$8:$A$114,A13,$E$8:$E$114)-SUMIF($A$8:$A$114,A13,$W$8:$W$114),2),0)</f>
        <v/>
      </c>
      <c r="AL13" s="144" t="n"/>
    </row>
    <row r="14" ht="57" customHeight="1" s="100">
      <c r="A14" s="141" t="n"/>
      <c r="B14" s="142" t="n"/>
      <c r="C14" s="141" t="n"/>
      <c r="D14" s="143" t="n"/>
      <c r="E14" s="143" t="n"/>
      <c r="F14" s="141" t="n"/>
      <c r="G14" s="142" t="n"/>
      <c r="H14" s="141" t="n"/>
      <c r="I14" s="146" t="n"/>
      <c r="J14" s="143" t="n"/>
      <c r="K14" s="143" t="n"/>
      <c r="L14" s="143">
        <f>IF(OR(F14="",AL14=0),"",(D14+E14)-(J14+K14))</f>
        <v/>
      </c>
      <c r="M14" s="144">
        <f>IF(OR(F14="",AL14=0,B14=""),"",G14-B14)</f>
        <v/>
      </c>
      <c r="N14" s="141" t="n"/>
      <c r="O14" s="141" t="n"/>
      <c r="P14" s="141" t="n"/>
      <c r="Q14" s="142" t="n"/>
      <c r="R14" s="141" t="n"/>
      <c r="S14" s="141" t="n"/>
      <c r="T14" s="141" t="n"/>
      <c r="U14" s="141" t="n"/>
      <c r="V14" s="143" t="n"/>
      <c r="W14" s="143" t="n"/>
      <c r="X14" s="143">
        <f>IF(OR(V14="",V14=0),0,ROUND(W14/V14*AF14,2))</f>
        <v/>
      </c>
      <c r="Y14" s="143">
        <f>IF(OR(V14="",V14=0),0,ROUND(W14/V14*AG14,2))</f>
        <v/>
      </c>
      <c r="Z14" s="143">
        <f>IF(OR(V14="",V14=0),0,ROUND(W14/V14*AH14,2))</f>
        <v/>
      </c>
      <c r="AA14" s="143">
        <f>IF(OR(V14="",V14=0),0,ROUND(W14/V14*AI14,2))</f>
        <v/>
      </c>
      <c r="AB14" s="144" t="n"/>
      <c r="AC14" s="143">
        <f>ROUND(SUMIF($A$8:$A$114,A14,$D$8:$D$114)+SUMIF($A$8:$A$114,A14,$E$8:$E$114)-SUMIF($A$8:$A$114,A14,$W$8:$W$114),2)</f>
        <v/>
      </c>
      <c r="AD14" s="145">
        <f>IF(OR((SUMIF($A$8:$A$114,A14,$D$8:$D$114)+SUMIF($A$8:$A$114,A14,$E$8:$E$114))=0,COUNTIFS($A$8:$A$114,A14,$F$8:$F$114,"?*")=0,N14="Sin CFDI"),"No identificado",IF(OR(ABS(SUMIF($A$8:$A$114,A14,$L$8:$L$114))&gt;Reglas!$C$7,ABS(SUMIF($A$8:$A$114,A14,$M$8:$M$114))&gt;Reglas!$C$8,ABS(AC14)&gt;Reglas!$C$7,ABS(N(AB14))&gt;Reglas!$C$8),"Conciliado (revisar)",IF(OR(N14="Varios CFDI",N14="Parcial"),"Conciliado (validar)","Conciliado")))</f>
        <v/>
      </c>
      <c r="AE14" s="146" t="n"/>
      <c r="AF14" s="143" t="n"/>
      <c r="AG14" s="143" t="n"/>
      <c r="AH14" s="143" t="n"/>
      <c r="AI14" s="143" t="n"/>
      <c r="AJ14" s="141" t="n"/>
      <c r="AK14" s="143">
        <f>IF(AL14=1,ROUND(SUMIF($A$8:$A$114,A14,$D$8:$D$114)+SUMIF($A$8:$A$114,A14,$E$8:$E$114)-SUMIF($A$8:$A$114,A14,$W$8:$W$114),2),0)</f>
        <v/>
      </c>
      <c r="AL14" s="144" t="n"/>
    </row>
    <row r="15" ht="36" customHeight="1" s="100">
      <c r="A15" s="141" t="n"/>
      <c r="B15" s="142" t="n"/>
      <c r="C15" s="141" t="n"/>
      <c r="D15" s="143" t="n"/>
      <c r="E15" s="143" t="n"/>
      <c r="F15" s="141" t="n"/>
      <c r="G15" s="142" t="n"/>
      <c r="H15" s="141" t="n"/>
      <c r="I15" s="141" t="n"/>
      <c r="J15" s="143" t="n"/>
      <c r="K15" s="143" t="n"/>
      <c r="L15" s="143">
        <f>IF(OR(F15="",AL15=0),"",(D15+E15)-(J15+K15))</f>
        <v/>
      </c>
      <c r="M15" s="144">
        <f>IF(OR(F15="",AL15=0,B15=""),"",G15-B15)</f>
        <v/>
      </c>
      <c r="N15" s="141" t="n"/>
      <c r="O15" s="141" t="n"/>
      <c r="P15" s="141" t="n"/>
      <c r="Q15" s="142" t="n"/>
      <c r="R15" s="141" t="n"/>
      <c r="S15" s="141" t="n"/>
      <c r="T15" s="141" t="n"/>
      <c r="U15" s="141" t="n"/>
      <c r="V15" s="143" t="n"/>
      <c r="W15" s="143" t="n"/>
      <c r="X15" s="143">
        <f>IF(OR(V15="",V15=0),0,ROUND(W15/V15*AF15,2))</f>
        <v/>
      </c>
      <c r="Y15" s="143">
        <f>IF(OR(V15="",V15=0),0,ROUND(W15/V15*AG15,2))</f>
        <v/>
      </c>
      <c r="Z15" s="143">
        <f>IF(OR(V15="",V15=0),0,ROUND(W15/V15*AH15,2))</f>
        <v/>
      </c>
      <c r="AA15" s="143">
        <f>IF(OR(V15="",V15=0),0,ROUND(W15/V15*AI15,2))</f>
        <v/>
      </c>
      <c r="AB15" s="144" t="n"/>
      <c r="AC15" s="143">
        <f>ROUND(SUMIF($A$8:$A$114,A15,$D$8:$D$114)+SUMIF($A$8:$A$114,A15,$E$8:$E$114)-SUMIF($A$8:$A$114,A15,$W$8:$W$114),2)</f>
        <v/>
      </c>
      <c r="AD15" s="145">
        <f>IF(OR((SUMIF($A$8:$A$114,A15,$D$8:$D$114)+SUMIF($A$8:$A$114,A15,$E$8:$E$114))=0,COUNTIFS($A$8:$A$114,A15,$F$8:$F$114,"?*")=0,N15="Sin CFDI"),"No identificado",IF(OR(ABS(SUMIF($A$8:$A$114,A15,$L$8:$L$114))&gt;Reglas!$C$7,ABS(SUMIF($A$8:$A$114,A15,$M$8:$M$114))&gt;Reglas!$C$8,ABS(AC15)&gt;Reglas!$C$7,ABS(N(AB15))&gt;Reglas!$C$8),"Conciliado (revisar)",IF(OR(N15="Varios CFDI",N15="Parcial"),"Conciliado (validar)","Conciliado")))</f>
        <v/>
      </c>
      <c r="AE15" s="146" t="n"/>
      <c r="AF15" s="143" t="n"/>
      <c r="AG15" s="143" t="n"/>
      <c r="AH15" s="143" t="n"/>
      <c r="AI15" s="143" t="n"/>
      <c r="AJ15" s="141" t="n"/>
      <c r="AK15" s="143">
        <f>IF(AL15=1,ROUND(SUMIF($A$8:$A$114,A15,$D$8:$D$114)+SUMIF($A$8:$A$114,A15,$E$8:$E$114)-SUMIF($A$8:$A$114,A15,$W$8:$W$114),2),0)</f>
        <v/>
      </c>
      <c r="AL15" s="144" t="n"/>
    </row>
    <row r="16" ht="22.5" customHeight="1" s="100">
      <c r="A16" s="141" t="n"/>
      <c r="B16" s="142" t="n"/>
      <c r="C16" s="141" t="n"/>
      <c r="D16" s="143" t="n"/>
      <c r="E16" s="143" t="n"/>
      <c r="F16" s="141" t="n"/>
      <c r="G16" s="142" t="n"/>
      <c r="H16" s="141" t="n"/>
      <c r="I16" s="141" t="n"/>
      <c r="J16" s="143" t="n"/>
      <c r="K16" s="143" t="n"/>
      <c r="L16" s="143">
        <f>IF(OR(F16="",AL16=0),"",(D16+E16)-(J16+K16))</f>
        <v/>
      </c>
      <c r="M16" s="144">
        <f>IF(OR(F16="",AL16=0,B16=""),"",G16-B16)</f>
        <v/>
      </c>
      <c r="N16" s="141" t="n"/>
      <c r="O16" s="141" t="n"/>
      <c r="P16" s="141" t="n"/>
      <c r="Q16" s="142" t="n"/>
      <c r="R16" s="141" t="n"/>
      <c r="S16" s="141" t="n"/>
      <c r="T16" s="141" t="n"/>
      <c r="U16" s="141" t="n"/>
      <c r="V16" s="143" t="n"/>
      <c r="W16" s="143" t="n"/>
      <c r="X16" s="143">
        <f>IF(OR(V16="",V16=0),0,ROUND(W16/V16*AF16,2))</f>
        <v/>
      </c>
      <c r="Y16" s="143">
        <f>IF(OR(V16="",V16=0),0,ROUND(W16/V16*AG16,2))</f>
        <v/>
      </c>
      <c r="Z16" s="143">
        <f>IF(OR(V16="",V16=0),0,ROUND(W16/V16*AH16,2))</f>
        <v/>
      </c>
      <c r="AA16" s="143">
        <f>IF(OR(V16="",V16=0),0,ROUND(W16/V16*AI16,2))</f>
        <v/>
      </c>
      <c r="AB16" s="144" t="n"/>
      <c r="AC16" s="143">
        <f>ROUND(SUMIF($A$8:$A$114,A16,$D$8:$D$114)+SUMIF($A$8:$A$114,A16,$E$8:$E$114)-SUMIF($A$8:$A$114,A16,$W$8:$W$114),2)</f>
        <v/>
      </c>
      <c r="AD16" s="145">
        <f>IF(OR((SUMIF($A$8:$A$114,A16,$D$8:$D$114)+SUMIF($A$8:$A$114,A16,$E$8:$E$114))=0,COUNTIFS($A$8:$A$114,A16,$F$8:$F$114,"?*")=0,N16="Sin CFDI"),"No identificado",IF(OR(ABS(SUMIF($A$8:$A$114,A16,$L$8:$L$114))&gt;Reglas!$C$7,ABS(SUMIF($A$8:$A$114,A16,$M$8:$M$114))&gt;Reglas!$C$8,ABS(AC16)&gt;Reglas!$C$7,ABS(N(AB16))&gt;Reglas!$C$8),"Conciliado (revisar)",IF(OR(N16="Varios CFDI",N16="Parcial"),"Conciliado (validar)","Conciliado")))</f>
        <v/>
      </c>
      <c r="AE16" s="146" t="n"/>
      <c r="AF16" s="143" t="n"/>
      <c r="AG16" s="143" t="n"/>
      <c r="AH16" s="143" t="n"/>
      <c r="AI16" s="143" t="n"/>
      <c r="AJ16" s="141" t="n"/>
      <c r="AK16" s="143">
        <f>IF(AL16=1,ROUND(SUMIF($A$8:$A$114,A16,$D$8:$D$114)+SUMIF($A$8:$A$114,A16,$E$8:$E$114)-SUMIF($A$8:$A$114,A16,$W$8:$W$114),2),0)</f>
        <v/>
      </c>
      <c r="AL16" s="144" t="n"/>
    </row>
    <row r="17" ht="22.5" customHeight="1" s="100">
      <c r="A17" s="141" t="n"/>
      <c r="B17" s="142" t="n"/>
      <c r="C17" s="141" t="n"/>
      <c r="D17" s="143" t="n"/>
      <c r="E17" s="143" t="n"/>
      <c r="F17" s="141" t="n"/>
      <c r="G17" s="142" t="n"/>
      <c r="H17" s="141" t="n"/>
      <c r="I17" s="141" t="n"/>
      <c r="J17" s="143" t="n"/>
      <c r="K17" s="143" t="n"/>
      <c r="L17" s="143">
        <f>IF(OR(F17="",AL17=0),"",(D17+E17)-(J17+K17))</f>
        <v/>
      </c>
      <c r="M17" s="144">
        <f>IF(OR(F17="",AL17=0,B17=""),"",G17-B17)</f>
        <v/>
      </c>
      <c r="N17" s="141" t="n"/>
      <c r="O17" s="141" t="n"/>
      <c r="P17" s="141" t="n"/>
      <c r="Q17" s="142" t="n"/>
      <c r="R17" s="141" t="n"/>
      <c r="S17" s="141" t="n"/>
      <c r="T17" s="141" t="n"/>
      <c r="U17" s="141" t="n"/>
      <c r="V17" s="143" t="n"/>
      <c r="W17" s="143" t="n"/>
      <c r="X17" s="143">
        <f>IF(OR(V17="",V17=0),0,ROUND(W17/V17*AF17,2))</f>
        <v/>
      </c>
      <c r="Y17" s="143">
        <f>IF(OR(V17="",V17=0),0,ROUND(W17/V17*AG17,2))</f>
        <v/>
      </c>
      <c r="Z17" s="143">
        <f>IF(OR(V17="",V17=0),0,ROUND(W17/V17*AH17,2))</f>
        <v/>
      </c>
      <c r="AA17" s="143">
        <f>IF(OR(V17="",V17=0),0,ROUND(W17/V17*AI17,2))</f>
        <v/>
      </c>
      <c r="AB17" s="144" t="n"/>
      <c r="AC17" s="143">
        <f>ROUND(SUMIF($A$8:$A$114,A17,$D$8:$D$114)+SUMIF($A$8:$A$114,A17,$E$8:$E$114)-SUMIF($A$8:$A$114,A17,$W$8:$W$114),2)</f>
        <v/>
      </c>
      <c r="AD17" s="145">
        <f>IF(OR((SUMIF($A$8:$A$114,A17,$D$8:$D$114)+SUMIF($A$8:$A$114,A17,$E$8:$E$114))=0,COUNTIFS($A$8:$A$114,A17,$F$8:$F$114,"?*")=0,N17="Sin CFDI"),"No identificado",IF(OR(ABS(SUMIF($A$8:$A$114,A17,$L$8:$L$114))&gt;Reglas!$C$7,ABS(SUMIF($A$8:$A$114,A17,$M$8:$M$114))&gt;Reglas!$C$8,ABS(AC17)&gt;Reglas!$C$7,ABS(N(AB17))&gt;Reglas!$C$8),"Conciliado (revisar)",IF(OR(N17="Varios CFDI",N17="Parcial"),"Conciliado (validar)","Conciliado")))</f>
        <v/>
      </c>
      <c r="AE17" s="146" t="n"/>
      <c r="AF17" s="143" t="n"/>
      <c r="AG17" s="143" t="n"/>
      <c r="AH17" s="143" t="n"/>
      <c r="AI17" s="143" t="n"/>
      <c r="AJ17" s="141" t="n"/>
      <c r="AK17" s="143">
        <f>IF(AL17=1,ROUND(SUMIF($A$8:$A$114,A17,$D$8:$D$114)+SUMIF($A$8:$A$114,A17,$E$8:$E$114)-SUMIF($A$8:$A$114,A17,$W$8:$W$114),2),0)</f>
        <v/>
      </c>
      <c r="AL17" s="144" t="n"/>
    </row>
    <row r="18" ht="24" customHeight="1" s="100">
      <c r="A18" s="141" t="n"/>
      <c r="B18" s="142" t="n"/>
      <c r="C18" s="141" t="n"/>
      <c r="D18" s="143" t="n"/>
      <c r="E18" s="143" t="n"/>
      <c r="F18" s="141" t="n"/>
      <c r="G18" s="142" t="n"/>
      <c r="H18" s="141" t="n"/>
      <c r="I18" s="141" t="n"/>
      <c r="J18" s="143" t="n"/>
      <c r="K18" s="143" t="n"/>
      <c r="L18" s="143">
        <f>IF(OR(F18="",AL18=0),"",(D18+E18)-(J18+K18))</f>
        <v/>
      </c>
      <c r="M18" s="144">
        <f>IF(OR(F18="",AL18=0,B18=""),"",G18-B18)</f>
        <v/>
      </c>
      <c r="N18" s="141" t="n"/>
      <c r="O18" s="141" t="n"/>
      <c r="P18" s="141" t="n"/>
      <c r="Q18" s="142" t="n"/>
      <c r="R18" s="141" t="n"/>
      <c r="S18" s="141" t="n"/>
      <c r="T18" s="141" t="n"/>
      <c r="U18" s="141" t="n"/>
      <c r="V18" s="143" t="n"/>
      <c r="W18" s="143" t="n"/>
      <c r="X18" s="143">
        <f>IF(OR(V18="",V18=0),0,ROUND(W18/V18*AF18,2))</f>
        <v/>
      </c>
      <c r="Y18" s="143">
        <f>IF(OR(V18="",V18=0),0,ROUND(W18/V18*AG18,2))</f>
        <v/>
      </c>
      <c r="Z18" s="143">
        <f>IF(OR(V18="",V18=0),0,ROUND(W18/V18*AH18,2))</f>
        <v/>
      </c>
      <c r="AA18" s="143">
        <f>IF(OR(V18="",V18=0),0,ROUND(W18/V18*AI18,2))</f>
        <v/>
      </c>
      <c r="AB18" s="144" t="n"/>
      <c r="AC18" s="143">
        <f>ROUND(SUMIF($A$8:$A$114,A18,$D$8:$D$114)+SUMIF($A$8:$A$114,A18,$E$8:$E$114)-SUMIF($A$8:$A$114,A18,$W$8:$W$114),2)</f>
        <v/>
      </c>
      <c r="AD18" s="145">
        <f>IF(OR((SUMIF($A$8:$A$114,A18,$D$8:$D$114)+SUMIF($A$8:$A$114,A18,$E$8:$E$114))=0,COUNTIFS($A$8:$A$114,A18,$F$8:$F$114,"?*")=0,N18="Sin CFDI"),"No identificado",IF(OR(ABS(SUMIF($A$8:$A$114,A18,$L$8:$L$114))&gt;Reglas!$C$7,ABS(SUMIF($A$8:$A$114,A18,$M$8:$M$114))&gt;Reglas!$C$8,ABS(AC18)&gt;Reglas!$C$7,ABS(N(AB18))&gt;Reglas!$C$8),"Conciliado (revisar)",IF(OR(N18="Varios CFDI",N18="Parcial"),"Conciliado (validar)","Conciliado")))</f>
        <v/>
      </c>
      <c r="AE18" s="146" t="n"/>
      <c r="AF18" s="143" t="n"/>
      <c r="AG18" s="143" t="n"/>
      <c r="AH18" s="143" t="n"/>
      <c r="AI18" s="143" t="n"/>
      <c r="AJ18" s="141" t="n"/>
      <c r="AK18" s="143">
        <f>IF(AL18=1,ROUND(SUMIF($A$8:$A$114,A18,$D$8:$D$114)+SUMIF($A$8:$A$114,A18,$E$8:$E$114)-SUMIF($A$8:$A$114,A18,$W$8:$W$114),2),0)</f>
        <v/>
      </c>
      <c r="AL18" s="144" t="n"/>
    </row>
    <row r="19" ht="22.5" customHeight="1" s="100">
      <c r="A19" s="141" t="n"/>
      <c r="B19" s="142" t="n"/>
      <c r="C19" s="141" t="n"/>
      <c r="D19" s="143" t="n"/>
      <c r="E19" s="143" t="n"/>
      <c r="F19" s="141" t="n"/>
      <c r="G19" s="142" t="n"/>
      <c r="H19" s="141" t="n"/>
      <c r="I19" s="141" t="n"/>
      <c r="J19" s="143" t="n"/>
      <c r="K19" s="143" t="n"/>
      <c r="L19" s="143">
        <f>IF(OR(F19="",AL19=0),"",(D19+E19)-(J19+K19))</f>
        <v/>
      </c>
      <c r="M19" s="144">
        <f>IF(OR(F19="",AL19=0,B19=""),"",G19-B19)</f>
        <v/>
      </c>
      <c r="N19" s="141" t="n"/>
      <c r="O19" s="141" t="n"/>
      <c r="P19" s="141" t="n"/>
      <c r="Q19" s="142" t="n"/>
      <c r="R19" s="141" t="n"/>
      <c r="S19" s="141" t="n"/>
      <c r="T19" s="141" t="n"/>
      <c r="U19" s="141" t="n"/>
      <c r="V19" s="143" t="n"/>
      <c r="W19" s="143" t="n"/>
      <c r="X19" s="143">
        <f>IF(OR(V19="",V19=0),0,ROUND(W19/V19*AF19,2))</f>
        <v/>
      </c>
      <c r="Y19" s="143">
        <f>IF(OR(V19="",V19=0),0,ROUND(W19/V19*AG19,2))</f>
        <v/>
      </c>
      <c r="Z19" s="143">
        <f>IF(OR(V19="",V19=0),0,ROUND(W19/V19*AH19,2))</f>
        <v/>
      </c>
      <c r="AA19" s="143">
        <f>IF(OR(V19="",V19=0),0,ROUND(W19/V19*AI19,2))</f>
        <v/>
      </c>
      <c r="AB19" s="144" t="n"/>
      <c r="AC19" s="143">
        <f>ROUND(SUMIF($A$8:$A$114,A19,$D$8:$D$114)+SUMIF($A$8:$A$114,A19,$E$8:$E$114)-SUMIF($A$8:$A$114,A19,$W$8:$W$114),2)</f>
        <v/>
      </c>
      <c r="AD19" s="145">
        <f>IF(OR((SUMIF($A$8:$A$114,A19,$D$8:$D$114)+SUMIF($A$8:$A$114,A19,$E$8:$E$114))=0,COUNTIFS($A$8:$A$114,A19,$F$8:$F$114,"?*")=0,N19="Sin CFDI"),"No identificado",IF(OR(ABS(SUMIF($A$8:$A$114,A19,$L$8:$L$114))&gt;Reglas!$C$7,ABS(SUMIF($A$8:$A$114,A19,$M$8:$M$114))&gt;Reglas!$C$8,ABS(AC19)&gt;Reglas!$C$7,ABS(N(AB19))&gt;Reglas!$C$8),"Conciliado (revisar)",IF(OR(N19="Varios CFDI",N19="Parcial"),"Conciliado (validar)","Conciliado")))</f>
        <v/>
      </c>
      <c r="AE19" s="146" t="n"/>
      <c r="AF19" s="143" t="n"/>
      <c r="AG19" s="143" t="n"/>
      <c r="AH19" s="143" t="n"/>
      <c r="AI19" s="143" t="n"/>
      <c r="AJ19" s="141" t="n"/>
      <c r="AK19" s="143">
        <f>IF(AL19=1,ROUND(SUMIF($A$8:$A$114,A19,$D$8:$D$114)+SUMIF($A$8:$A$114,A19,$E$8:$E$114)-SUMIF($A$8:$A$114,A19,$W$8:$W$114),2),0)</f>
        <v/>
      </c>
      <c r="AL19" s="144" t="n"/>
    </row>
    <row r="20" ht="22.5" customHeight="1" s="100">
      <c r="A20" s="141" t="n"/>
      <c r="B20" s="142" t="n"/>
      <c r="C20" s="141" t="n"/>
      <c r="D20" s="143" t="n"/>
      <c r="E20" s="143" t="n"/>
      <c r="F20" s="141" t="n"/>
      <c r="G20" s="142" t="n"/>
      <c r="H20" s="141" t="n"/>
      <c r="I20" s="141" t="n"/>
      <c r="J20" s="143" t="n"/>
      <c r="K20" s="143" t="n"/>
      <c r="L20" s="143">
        <f>IF(OR(F20="",AL20=0),"",(D20+E20)-(J20+K20))</f>
        <v/>
      </c>
      <c r="M20" s="144">
        <f>IF(OR(F20="",AL20=0,B20=""),"",G20-B20)</f>
        <v/>
      </c>
      <c r="N20" s="141" t="n"/>
      <c r="O20" s="141" t="n"/>
      <c r="P20" s="141" t="n"/>
      <c r="Q20" s="142" t="n"/>
      <c r="R20" s="141" t="n"/>
      <c r="S20" s="141" t="n"/>
      <c r="T20" s="141" t="n"/>
      <c r="U20" s="141" t="n"/>
      <c r="V20" s="143" t="n"/>
      <c r="W20" s="143" t="n"/>
      <c r="X20" s="143">
        <f>IF(OR(V20="",V20=0),0,ROUND(W20/V20*AF20,2))</f>
        <v/>
      </c>
      <c r="Y20" s="143">
        <f>IF(OR(V20="",V20=0),0,ROUND(W20/V20*AG20,2))</f>
        <v/>
      </c>
      <c r="Z20" s="143">
        <f>IF(OR(V20="",V20=0),0,ROUND(W20/V20*AH20,2))</f>
        <v/>
      </c>
      <c r="AA20" s="143">
        <f>IF(OR(V20="",V20=0),0,ROUND(W20/V20*AI20,2))</f>
        <v/>
      </c>
      <c r="AB20" s="144" t="n"/>
      <c r="AC20" s="143">
        <f>ROUND(SUMIF($A$8:$A$114,A20,$D$8:$D$114)+SUMIF($A$8:$A$114,A20,$E$8:$E$114)-SUMIF($A$8:$A$114,A20,$W$8:$W$114),2)</f>
        <v/>
      </c>
      <c r="AD20" s="145">
        <f>IF(OR((SUMIF($A$8:$A$114,A20,$D$8:$D$114)+SUMIF($A$8:$A$114,A20,$E$8:$E$114))=0,COUNTIFS($A$8:$A$114,A20,$F$8:$F$114,"?*")=0,N20="Sin CFDI"),"No identificado",IF(OR(ABS(SUMIF($A$8:$A$114,A20,$L$8:$L$114))&gt;Reglas!$C$7,ABS(SUMIF($A$8:$A$114,A20,$M$8:$M$114))&gt;Reglas!$C$8,ABS(AC20)&gt;Reglas!$C$7,ABS(N(AB20))&gt;Reglas!$C$8),"Conciliado (revisar)",IF(OR(N20="Varios CFDI",N20="Parcial"),"Conciliado (validar)","Conciliado")))</f>
        <v/>
      </c>
      <c r="AE20" s="146" t="n"/>
      <c r="AF20" s="143" t="n"/>
      <c r="AG20" s="143" t="n"/>
      <c r="AH20" s="143" t="n"/>
      <c r="AI20" s="143" t="n"/>
      <c r="AJ20" s="141" t="n"/>
      <c r="AK20" s="143">
        <f>IF(AL20=1,ROUND(SUMIF($A$8:$A$114,A20,$D$8:$D$114)+SUMIF($A$8:$A$114,A20,$E$8:$E$114)-SUMIF($A$8:$A$114,A20,$W$8:$W$114),2),0)</f>
        <v/>
      </c>
      <c r="AL20" s="144" t="n"/>
    </row>
    <row r="21" ht="36" customHeight="1" s="100">
      <c r="A21" s="141" t="n"/>
      <c r="B21" s="142" t="n"/>
      <c r="C21" s="141" t="n"/>
      <c r="D21" s="143" t="n"/>
      <c r="E21" s="143" t="n"/>
      <c r="F21" s="141" t="n"/>
      <c r="G21" s="142" t="n"/>
      <c r="H21" s="141" t="n"/>
      <c r="I21" s="141" t="n"/>
      <c r="J21" s="143" t="n"/>
      <c r="K21" s="143" t="n"/>
      <c r="L21" s="143">
        <f>IF(OR(F21="",AL21=0),"",(D21+E21)-(J21+K21))</f>
        <v/>
      </c>
      <c r="M21" s="144">
        <f>IF(OR(F21="",AL21=0,B21=""),"",G21-B21)</f>
        <v/>
      </c>
      <c r="N21" s="141" t="n"/>
      <c r="O21" s="141" t="n"/>
      <c r="P21" s="141" t="n"/>
      <c r="Q21" s="142" t="n"/>
      <c r="R21" s="141" t="n"/>
      <c r="S21" s="141" t="n"/>
      <c r="T21" s="141" t="n"/>
      <c r="U21" s="141" t="n"/>
      <c r="V21" s="143" t="n"/>
      <c r="W21" s="143" t="n"/>
      <c r="X21" s="143">
        <f>IF(OR(V21="",V21=0),0,ROUND(W21/V21*AF21,2))</f>
        <v/>
      </c>
      <c r="Y21" s="143">
        <f>IF(OR(V21="",V21=0),0,ROUND(W21/V21*AG21,2))</f>
        <v/>
      </c>
      <c r="Z21" s="143">
        <f>IF(OR(V21="",V21=0),0,ROUND(W21/V21*AH21,2))</f>
        <v/>
      </c>
      <c r="AA21" s="143">
        <f>IF(OR(V21="",V21=0),0,ROUND(W21/V21*AI21,2))</f>
        <v/>
      </c>
      <c r="AB21" s="144" t="n"/>
      <c r="AC21" s="143">
        <f>ROUND(SUMIF($A$8:$A$114,A21,$D$8:$D$114)+SUMIF($A$8:$A$114,A21,$E$8:$E$114)-SUMIF($A$8:$A$114,A21,$W$8:$W$114),2)</f>
        <v/>
      </c>
      <c r="AD21" s="145">
        <f>IF(OR((SUMIF($A$8:$A$114,A21,$D$8:$D$114)+SUMIF($A$8:$A$114,A21,$E$8:$E$114))=0,COUNTIFS($A$8:$A$114,A21,$F$8:$F$114,"?*")=0,N21="Sin CFDI"),"No identificado",IF(OR(ABS(SUMIF($A$8:$A$114,A21,$L$8:$L$114))&gt;Reglas!$C$7,ABS(SUMIF($A$8:$A$114,A21,$M$8:$M$114))&gt;Reglas!$C$8,ABS(AC21)&gt;Reglas!$C$7,ABS(N(AB21))&gt;Reglas!$C$8),"Conciliado (revisar)",IF(OR(N21="Varios CFDI",N21="Parcial"),"Conciliado (validar)","Conciliado")))</f>
        <v/>
      </c>
      <c r="AE21" s="146" t="n"/>
      <c r="AF21" s="143" t="n"/>
      <c r="AG21" s="143" t="n"/>
      <c r="AH21" s="143" t="n"/>
      <c r="AI21" s="143" t="n"/>
      <c r="AJ21" s="141" t="n"/>
      <c r="AK21" s="143">
        <f>IF(AL21=1,ROUND(SUMIF($A$8:$A$114,A21,$D$8:$D$114)+SUMIF($A$8:$A$114,A21,$E$8:$E$114)-SUMIF($A$8:$A$114,A21,$W$8:$W$114),2),0)</f>
        <v/>
      </c>
      <c r="AL21" s="144" t="n"/>
    </row>
    <row r="22" ht="24" customHeight="1" s="100">
      <c r="A22" s="141" t="n"/>
      <c r="B22" s="142" t="n"/>
      <c r="C22" s="141" t="n"/>
      <c r="D22" s="143" t="n"/>
      <c r="E22" s="143" t="n"/>
      <c r="F22" s="141" t="n"/>
      <c r="G22" s="142" t="n"/>
      <c r="H22" s="141" t="n"/>
      <c r="I22" s="141" t="n"/>
      <c r="J22" s="143" t="n"/>
      <c r="K22" s="143" t="n"/>
      <c r="L22" s="143">
        <f>IF(OR(F22="",AL22=0),"",(D22+E22)-(J22+K22))</f>
        <v/>
      </c>
      <c r="M22" s="144">
        <f>IF(OR(F22="",AL22=0,B22=""),"",G22-B22)</f>
        <v/>
      </c>
      <c r="N22" s="141" t="n"/>
      <c r="O22" s="141" t="n"/>
      <c r="P22" s="141" t="n"/>
      <c r="Q22" s="142" t="n"/>
      <c r="R22" s="141" t="n"/>
      <c r="S22" s="141" t="n"/>
      <c r="T22" s="141" t="n"/>
      <c r="U22" s="141" t="n"/>
      <c r="V22" s="143" t="n"/>
      <c r="W22" s="143" t="n"/>
      <c r="X22" s="143">
        <f>IF(OR(V22="",V22=0),0,ROUND(W22/V22*AF22,2))</f>
        <v/>
      </c>
      <c r="Y22" s="143">
        <f>IF(OR(V22="",V22=0),0,ROUND(W22/V22*AG22,2))</f>
        <v/>
      </c>
      <c r="Z22" s="143">
        <f>IF(OR(V22="",V22=0),0,ROUND(W22/V22*AH22,2))</f>
        <v/>
      </c>
      <c r="AA22" s="143">
        <f>IF(OR(V22="",V22=0),0,ROUND(W22/V22*AI22,2))</f>
        <v/>
      </c>
      <c r="AB22" s="144" t="n"/>
      <c r="AC22" s="143">
        <f>ROUND(SUMIF($A$8:$A$114,A22,$D$8:$D$114)+SUMIF($A$8:$A$114,A22,$E$8:$E$114)-SUMIF($A$8:$A$114,A22,$W$8:$W$114),2)</f>
        <v/>
      </c>
      <c r="AD22" s="145">
        <f>IF(OR((SUMIF($A$8:$A$114,A22,$D$8:$D$114)+SUMIF($A$8:$A$114,A22,$E$8:$E$114))=0,COUNTIFS($A$8:$A$114,A22,$F$8:$F$114,"?*")=0,N22="Sin CFDI"),"No identificado",IF(OR(ABS(SUMIF($A$8:$A$114,A22,$L$8:$L$114))&gt;Reglas!$C$7,ABS(SUMIF($A$8:$A$114,A22,$M$8:$M$114))&gt;Reglas!$C$8,ABS(AC22)&gt;Reglas!$C$7,ABS(N(AB22))&gt;Reglas!$C$8),"Conciliado (revisar)",IF(OR(N22="Varios CFDI",N22="Parcial"),"Conciliado (validar)","Conciliado")))</f>
        <v/>
      </c>
      <c r="AE22" s="146" t="n"/>
      <c r="AF22" s="143" t="n"/>
      <c r="AG22" s="143" t="n"/>
      <c r="AH22" s="143" t="n"/>
      <c r="AI22" s="143" t="n"/>
      <c r="AJ22" s="141" t="n"/>
      <c r="AK22" s="143">
        <f>IF(AL22=1,ROUND(SUMIF($A$8:$A$114,A22,$D$8:$D$114)+SUMIF($A$8:$A$114,A22,$E$8:$E$114)-SUMIF($A$8:$A$114,A22,$W$8:$W$114),2),0)</f>
        <v/>
      </c>
      <c r="AL22" s="144" t="n"/>
    </row>
    <row r="23" ht="14.25" customHeight="1" s="100">
      <c r="A23" s="141" t="n"/>
      <c r="B23" s="142" t="n"/>
      <c r="C23" s="141" t="n"/>
      <c r="D23" s="143" t="n"/>
      <c r="E23" s="143" t="n"/>
      <c r="F23" s="141" t="n"/>
      <c r="G23" s="142" t="n"/>
      <c r="H23" s="141" t="n"/>
      <c r="I23" s="141" t="n"/>
      <c r="J23" s="143" t="n"/>
      <c r="K23" s="143" t="n"/>
      <c r="L23" s="143">
        <f>IF(OR(F23="",AL23=0),"",(D23+E23)-(J23+K23))</f>
        <v/>
      </c>
      <c r="M23" s="144">
        <f>IF(OR(F23="",AL23=0,B23=""),"",G23-B23)</f>
        <v/>
      </c>
      <c r="N23" s="141" t="n"/>
      <c r="O23" s="141" t="n"/>
      <c r="P23" s="141" t="n"/>
      <c r="Q23" s="142" t="n"/>
      <c r="R23" s="141" t="n"/>
      <c r="S23" s="141" t="n"/>
      <c r="T23" s="141" t="n"/>
      <c r="U23" s="141" t="n"/>
      <c r="V23" s="143" t="n"/>
      <c r="W23" s="143" t="n"/>
      <c r="X23" s="143">
        <f>IF(OR(V23="",V23=0),0,ROUND(W23/V23*AF23,2))</f>
        <v/>
      </c>
      <c r="Y23" s="143">
        <f>IF(OR(V23="",V23=0),0,ROUND(W23/V23*AG23,2))</f>
        <v/>
      </c>
      <c r="Z23" s="143">
        <f>IF(OR(V23="",V23=0),0,ROUND(W23/V23*AH23,2))</f>
        <v/>
      </c>
      <c r="AA23" s="143">
        <f>IF(OR(V23="",V23=0),0,ROUND(W23/V23*AI23,2))</f>
        <v/>
      </c>
      <c r="AB23" s="144" t="n"/>
      <c r="AC23" s="143">
        <f>ROUND(SUMIF($A$8:$A$114,A23,$D$8:$D$114)+SUMIF($A$8:$A$114,A23,$E$8:$E$114)-SUMIF($A$8:$A$114,A23,$W$8:$W$114),2)</f>
        <v/>
      </c>
      <c r="AD23" s="145">
        <f>IF(OR((SUMIF($A$8:$A$114,A23,$D$8:$D$114)+SUMIF($A$8:$A$114,A23,$E$8:$E$114))=0,COUNTIFS($A$8:$A$114,A23,$F$8:$F$114,"?*")=0,N23="Sin CFDI"),"No identificado",IF(OR(ABS(SUMIF($A$8:$A$114,A23,$L$8:$L$114))&gt;Reglas!$C$7,ABS(SUMIF($A$8:$A$114,A23,$M$8:$M$114))&gt;Reglas!$C$8,ABS(AC23)&gt;Reglas!$C$7,ABS(N(AB23))&gt;Reglas!$C$8),"Conciliado (revisar)",IF(OR(N23="Varios CFDI",N23="Parcial"),"Conciliado (validar)","Conciliado")))</f>
        <v/>
      </c>
      <c r="AE23" s="146" t="n"/>
      <c r="AF23" s="143" t="n"/>
      <c r="AG23" s="143" t="n"/>
      <c r="AH23" s="143" t="n"/>
      <c r="AI23" s="143" t="n"/>
      <c r="AJ23" s="141" t="n"/>
      <c r="AK23" s="143">
        <f>IF(AL23=1,ROUND(SUMIF($A$8:$A$114,A23,$D$8:$D$114)+SUMIF($A$8:$A$114,A23,$E$8:$E$114)-SUMIF($A$8:$A$114,A23,$W$8:$W$114),2),0)</f>
        <v/>
      </c>
      <c r="AL23" s="144" t="n"/>
    </row>
    <row r="24" ht="14.25" customHeight="1" s="100">
      <c r="A24" s="141" t="n"/>
      <c r="B24" s="142" t="n"/>
      <c r="C24" s="141" t="n"/>
      <c r="D24" s="143" t="n"/>
      <c r="E24" s="143" t="n"/>
      <c r="F24" s="141" t="n"/>
      <c r="G24" s="142" t="n"/>
      <c r="H24" s="141" t="n"/>
      <c r="I24" s="141" t="n"/>
      <c r="J24" s="143" t="n"/>
      <c r="K24" s="143" t="n"/>
      <c r="L24" s="143">
        <f>IF(OR(F24="",AL24=0),"",(D24+E24)-(J24+K24))</f>
        <v/>
      </c>
      <c r="M24" s="144">
        <f>IF(OR(F24="",AL24=0,B24=""),"",G24-B24)</f>
        <v/>
      </c>
      <c r="N24" s="141" t="n"/>
      <c r="O24" s="141" t="n"/>
      <c r="P24" s="141" t="n"/>
      <c r="Q24" s="142" t="n"/>
      <c r="R24" s="141" t="n"/>
      <c r="S24" s="141" t="n"/>
      <c r="T24" s="141" t="n"/>
      <c r="U24" s="141" t="n"/>
      <c r="V24" s="143" t="n"/>
      <c r="W24" s="143" t="n"/>
      <c r="X24" s="143">
        <f>IF(OR(V24="",V24=0),0,ROUND(W24/V24*AF24,2))</f>
        <v/>
      </c>
      <c r="Y24" s="143">
        <f>IF(OR(V24="",V24=0),0,ROUND(W24/V24*AG24,2))</f>
        <v/>
      </c>
      <c r="Z24" s="143">
        <f>IF(OR(V24="",V24=0),0,ROUND(W24/V24*AH24,2))</f>
        <v/>
      </c>
      <c r="AA24" s="143">
        <f>IF(OR(V24="",V24=0),0,ROUND(W24/V24*AI24,2))</f>
        <v/>
      </c>
      <c r="AB24" s="144" t="n"/>
      <c r="AC24" s="143">
        <f>ROUND(SUMIF($A$8:$A$114,A24,$D$8:$D$114)+SUMIF($A$8:$A$114,A24,$E$8:$E$114)-SUMIF($A$8:$A$114,A24,$W$8:$W$114),2)</f>
        <v/>
      </c>
      <c r="AD24" s="145">
        <f>IF(OR((SUMIF($A$8:$A$114,A24,$D$8:$D$114)+SUMIF($A$8:$A$114,A24,$E$8:$E$114))=0,COUNTIFS($A$8:$A$114,A24,$F$8:$F$114,"?*")=0,N24="Sin CFDI"),"No identificado",IF(OR(ABS(SUMIF($A$8:$A$114,A24,$L$8:$L$114))&gt;Reglas!$C$7,ABS(SUMIF($A$8:$A$114,A24,$M$8:$M$114))&gt;Reglas!$C$8,ABS(AC24)&gt;Reglas!$C$7,ABS(N(AB24))&gt;Reglas!$C$8),"Conciliado (revisar)",IF(OR(N24="Varios CFDI",N24="Parcial"),"Conciliado (validar)","Conciliado")))</f>
        <v/>
      </c>
      <c r="AE24" s="146" t="n"/>
      <c r="AF24" s="143" t="n"/>
      <c r="AG24" s="143" t="n"/>
      <c r="AH24" s="143" t="n"/>
      <c r="AI24" s="143" t="n"/>
      <c r="AJ24" s="141" t="n"/>
      <c r="AK24" s="143">
        <f>IF(AL24=1,ROUND(SUMIF($A$8:$A$114,A24,$D$8:$D$114)+SUMIF($A$8:$A$114,A24,$E$8:$E$114)-SUMIF($A$8:$A$114,A24,$W$8:$W$114),2),0)</f>
        <v/>
      </c>
      <c r="AL24" s="144" t="n"/>
    </row>
    <row r="25" ht="14.25" customHeight="1" s="100">
      <c r="A25" s="141" t="n"/>
      <c r="B25" s="142" t="n"/>
      <c r="C25" s="141" t="n"/>
      <c r="D25" s="143" t="n"/>
      <c r="E25" s="143" t="n"/>
      <c r="F25" s="141" t="n"/>
      <c r="G25" s="142" t="n"/>
      <c r="H25" s="141" t="n"/>
      <c r="I25" s="141" t="n"/>
      <c r="J25" s="143" t="n"/>
      <c r="K25" s="143" t="n"/>
      <c r="L25" s="143">
        <f>IF(OR(F25="",AL25=0),"",(D25+E25)-(J25+K25))</f>
        <v/>
      </c>
      <c r="M25" s="144">
        <f>IF(OR(F25="",AL25=0,B25=""),"",G25-B25)</f>
        <v/>
      </c>
      <c r="N25" s="141" t="n"/>
      <c r="O25" s="141" t="n"/>
      <c r="P25" s="141" t="n"/>
      <c r="Q25" s="142" t="n"/>
      <c r="R25" s="141" t="n"/>
      <c r="S25" s="141" t="n"/>
      <c r="T25" s="141" t="n"/>
      <c r="U25" s="141" t="n"/>
      <c r="V25" s="143" t="n"/>
      <c r="W25" s="143" t="n"/>
      <c r="X25" s="143">
        <f>IF(OR(V25="",V25=0),0,ROUND(W25/V25*AF25,2))</f>
        <v/>
      </c>
      <c r="Y25" s="143">
        <f>IF(OR(V25="",V25=0),0,ROUND(W25/V25*AG25,2))</f>
        <v/>
      </c>
      <c r="Z25" s="143">
        <f>IF(OR(V25="",V25=0),0,ROUND(W25/V25*AH25,2))</f>
        <v/>
      </c>
      <c r="AA25" s="143">
        <f>IF(OR(V25="",V25=0),0,ROUND(W25/V25*AI25,2))</f>
        <v/>
      </c>
      <c r="AB25" s="144" t="n"/>
      <c r="AC25" s="143">
        <f>ROUND(SUMIF($A$8:$A$114,A25,$D$8:$D$114)+SUMIF($A$8:$A$114,A25,$E$8:$E$114)-SUMIF($A$8:$A$114,A25,$W$8:$W$114),2)</f>
        <v/>
      </c>
      <c r="AD25" s="145">
        <f>IF(OR((SUMIF($A$8:$A$114,A25,$D$8:$D$114)+SUMIF($A$8:$A$114,A25,$E$8:$E$114))=0,COUNTIFS($A$8:$A$114,A25,$F$8:$F$114,"?*")=0,N25="Sin CFDI"),"No identificado",IF(OR(ABS(SUMIF($A$8:$A$114,A25,$L$8:$L$114))&gt;Reglas!$C$7,ABS(SUMIF($A$8:$A$114,A25,$M$8:$M$114))&gt;Reglas!$C$8,ABS(AC25)&gt;Reglas!$C$7,ABS(N(AB25))&gt;Reglas!$C$8),"Conciliado (revisar)",IF(OR(N25="Varios CFDI",N25="Parcial"),"Conciliado (validar)","Conciliado")))</f>
        <v/>
      </c>
      <c r="AE25" s="146" t="n"/>
      <c r="AF25" s="143" t="n"/>
      <c r="AG25" s="143" t="n"/>
      <c r="AH25" s="143" t="n"/>
      <c r="AI25" s="143" t="n"/>
      <c r="AJ25" s="141" t="n"/>
      <c r="AK25" s="143">
        <f>IF(AL25=1,ROUND(SUMIF($A$8:$A$114,A25,$D$8:$D$114)+SUMIF($A$8:$A$114,A25,$E$8:$E$114)-SUMIF($A$8:$A$114,A25,$W$8:$W$114),2),0)</f>
        <v/>
      </c>
      <c r="AL25" s="144" t="n"/>
    </row>
    <row r="26" ht="24" customHeight="1" s="100">
      <c r="A26" s="141" t="n"/>
      <c r="B26" s="142" t="n"/>
      <c r="C26" s="141" t="n"/>
      <c r="D26" s="143" t="n"/>
      <c r="E26" s="143" t="n"/>
      <c r="F26" s="141" t="n"/>
      <c r="G26" s="142" t="n"/>
      <c r="H26" s="141" t="n"/>
      <c r="I26" s="141" t="n"/>
      <c r="J26" s="143" t="n"/>
      <c r="K26" s="143" t="n"/>
      <c r="L26" s="143">
        <f>IF(OR(F26="",AL26=0),"",(D26+E26)-(J26+K26))</f>
        <v/>
      </c>
      <c r="M26" s="144">
        <f>IF(OR(F26="",AL26=0,B26=""),"",G26-B26)</f>
        <v/>
      </c>
      <c r="N26" s="141" t="n"/>
      <c r="O26" s="141" t="n"/>
      <c r="P26" s="141" t="n"/>
      <c r="Q26" s="142" t="n"/>
      <c r="R26" s="141" t="n"/>
      <c r="S26" s="141" t="n"/>
      <c r="T26" s="141" t="n"/>
      <c r="U26" s="141" t="n"/>
      <c r="V26" s="143" t="n"/>
      <c r="W26" s="143" t="n"/>
      <c r="X26" s="143">
        <f>IF(OR(V26="",V26=0),0,ROUND(W26/V26*AF26,2))</f>
        <v/>
      </c>
      <c r="Y26" s="143">
        <f>IF(OR(V26="",V26=0),0,ROUND(W26/V26*AG26,2))</f>
        <v/>
      </c>
      <c r="Z26" s="143">
        <f>IF(OR(V26="",V26=0),0,ROUND(W26/V26*AH26,2))</f>
        <v/>
      </c>
      <c r="AA26" s="143">
        <f>IF(OR(V26="",V26=0),0,ROUND(W26/V26*AI26,2))</f>
        <v/>
      </c>
      <c r="AB26" s="144" t="n"/>
      <c r="AC26" s="143">
        <f>ROUND(SUMIF($A$8:$A$114,A26,$D$8:$D$114)+SUMIF($A$8:$A$114,A26,$E$8:$E$114)-SUMIF($A$8:$A$114,A26,$W$8:$W$114),2)</f>
        <v/>
      </c>
      <c r="AD26" s="145">
        <f>IF(OR((SUMIF($A$8:$A$114,A26,$D$8:$D$114)+SUMIF($A$8:$A$114,A26,$E$8:$E$114))=0,COUNTIFS($A$8:$A$114,A26,$F$8:$F$114,"?*")=0,N26="Sin CFDI"),"No identificado",IF(OR(ABS(SUMIF($A$8:$A$114,A26,$L$8:$L$114))&gt;Reglas!$C$7,ABS(SUMIF($A$8:$A$114,A26,$M$8:$M$114))&gt;Reglas!$C$8,ABS(AC26)&gt;Reglas!$C$7,ABS(N(AB26))&gt;Reglas!$C$8),"Conciliado (revisar)",IF(OR(N26="Varios CFDI",N26="Parcial"),"Conciliado (validar)","Conciliado")))</f>
        <v/>
      </c>
      <c r="AE26" s="146" t="n"/>
      <c r="AF26" s="143" t="n"/>
      <c r="AG26" s="143" t="n"/>
      <c r="AH26" s="143" t="n"/>
      <c r="AI26" s="143" t="n"/>
      <c r="AJ26" s="141" t="n"/>
      <c r="AK26" s="143">
        <f>IF(AL26=1,ROUND(SUMIF($A$8:$A$114,A26,$D$8:$D$114)+SUMIF($A$8:$A$114,A26,$E$8:$E$114)-SUMIF($A$8:$A$114,A26,$W$8:$W$114),2),0)</f>
        <v/>
      </c>
      <c r="AL26" s="144" t="n"/>
    </row>
    <row r="27" ht="14.25" customHeight="1" s="100">
      <c r="A27" s="141" t="n"/>
      <c r="B27" s="142" t="n"/>
      <c r="C27" s="141" t="n"/>
      <c r="D27" s="143" t="n"/>
      <c r="E27" s="143" t="n"/>
      <c r="F27" s="141" t="n"/>
      <c r="G27" s="142" t="n"/>
      <c r="H27" s="141" t="n"/>
      <c r="I27" s="141" t="n"/>
      <c r="J27" s="143" t="n"/>
      <c r="K27" s="143" t="n"/>
      <c r="L27" s="143">
        <f>IF(OR(F27="",AL27=0),"",(D27+E27)-(J27+K27))</f>
        <v/>
      </c>
      <c r="M27" s="144">
        <f>IF(OR(F27="",AL27=0,B27=""),"",G27-B27)</f>
        <v/>
      </c>
      <c r="N27" s="141" t="n"/>
      <c r="O27" s="141" t="n"/>
      <c r="P27" s="141" t="n"/>
      <c r="Q27" s="142" t="n"/>
      <c r="R27" s="141" t="n"/>
      <c r="S27" s="141" t="n"/>
      <c r="T27" s="141" t="n"/>
      <c r="U27" s="141" t="n"/>
      <c r="V27" s="143" t="n"/>
      <c r="W27" s="143" t="n"/>
      <c r="X27" s="143">
        <f>IF(OR(V27="",V27=0),0,ROUND(W27/V27*AF27,2))</f>
        <v/>
      </c>
      <c r="Y27" s="143">
        <f>IF(OR(V27="",V27=0),0,ROUND(W27/V27*AG27,2))</f>
        <v/>
      </c>
      <c r="Z27" s="143">
        <f>IF(OR(V27="",V27=0),0,ROUND(W27/V27*AH27,2))</f>
        <v/>
      </c>
      <c r="AA27" s="143">
        <f>IF(OR(V27="",V27=0),0,ROUND(W27/V27*AI27,2))</f>
        <v/>
      </c>
      <c r="AB27" s="144" t="n"/>
      <c r="AC27" s="143">
        <f>ROUND(SUMIF($A$8:$A$114,A27,$D$8:$D$114)+SUMIF($A$8:$A$114,A27,$E$8:$E$114)-SUMIF($A$8:$A$114,A27,$W$8:$W$114),2)</f>
        <v/>
      </c>
      <c r="AD27" s="145">
        <f>IF(OR((SUMIF($A$8:$A$114,A27,$D$8:$D$114)+SUMIF($A$8:$A$114,A27,$E$8:$E$114))=0,COUNTIFS($A$8:$A$114,A27,$F$8:$F$114,"?*")=0,N27="Sin CFDI"),"No identificado",IF(OR(ABS(SUMIF($A$8:$A$114,A27,$L$8:$L$114))&gt;Reglas!$C$7,ABS(SUMIF($A$8:$A$114,A27,$M$8:$M$114))&gt;Reglas!$C$8,ABS(AC27)&gt;Reglas!$C$7,ABS(N(AB27))&gt;Reglas!$C$8),"Conciliado (revisar)",IF(OR(N27="Varios CFDI",N27="Parcial"),"Conciliado (validar)","Conciliado")))</f>
        <v/>
      </c>
      <c r="AE27" s="146" t="n"/>
      <c r="AF27" s="143" t="n"/>
      <c r="AG27" s="143" t="n"/>
      <c r="AH27" s="143" t="n"/>
      <c r="AI27" s="143" t="n"/>
      <c r="AJ27" s="141" t="n"/>
      <c r="AK27" s="143">
        <f>IF(AL27=1,ROUND(SUMIF($A$8:$A$114,A27,$D$8:$D$114)+SUMIF($A$8:$A$114,A27,$E$8:$E$114)-SUMIF($A$8:$A$114,A27,$W$8:$W$114),2),0)</f>
        <v/>
      </c>
      <c r="AL27" s="144" t="n"/>
    </row>
    <row r="28" ht="14.25" customHeight="1" s="100">
      <c r="A28" s="141" t="n"/>
      <c r="B28" s="142" t="n"/>
      <c r="C28" s="141" t="n"/>
      <c r="D28" s="143" t="n"/>
      <c r="E28" s="143" t="n"/>
      <c r="F28" s="141" t="n"/>
      <c r="G28" s="142" t="n"/>
      <c r="H28" s="141" t="n"/>
      <c r="I28" s="141" t="n"/>
      <c r="J28" s="143" t="n"/>
      <c r="K28" s="143" t="n"/>
      <c r="L28" s="143">
        <f>IF(OR(F28="",AL28=0),"",(D28+E28)-(J28+K28))</f>
        <v/>
      </c>
      <c r="M28" s="144">
        <f>IF(OR(F28="",AL28=0,B28=""),"",G28-B28)</f>
        <v/>
      </c>
      <c r="N28" s="141" t="n"/>
      <c r="O28" s="141" t="n"/>
      <c r="P28" s="141" t="n"/>
      <c r="Q28" s="142" t="n"/>
      <c r="R28" s="141" t="n"/>
      <c r="S28" s="141" t="n"/>
      <c r="T28" s="141" t="n"/>
      <c r="U28" s="141" t="n"/>
      <c r="V28" s="143" t="n"/>
      <c r="W28" s="143" t="n"/>
      <c r="X28" s="143">
        <f>IF(OR(V28="",V28=0),0,ROUND(W28/V28*AF28,2))</f>
        <v/>
      </c>
      <c r="Y28" s="143">
        <f>IF(OR(V28="",V28=0),0,ROUND(W28/V28*AG28,2))</f>
        <v/>
      </c>
      <c r="Z28" s="143">
        <f>IF(OR(V28="",V28=0),0,ROUND(W28/V28*AH28,2))</f>
        <v/>
      </c>
      <c r="AA28" s="143">
        <f>IF(OR(V28="",V28=0),0,ROUND(W28/V28*AI28,2))</f>
        <v/>
      </c>
      <c r="AB28" s="144" t="n"/>
      <c r="AC28" s="143">
        <f>ROUND(SUMIF($A$8:$A$114,A28,$D$8:$D$114)+SUMIF($A$8:$A$114,A28,$E$8:$E$114)-SUMIF($A$8:$A$114,A28,$W$8:$W$114),2)</f>
        <v/>
      </c>
      <c r="AD28" s="145">
        <f>IF(OR((SUMIF($A$8:$A$114,A28,$D$8:$D$114)+SUMIF($A$8:$A$114,A28,$E$8:$E$114))=0,COUNTIFS($A$8:$A$114,A28,$F$8:$F$114,"?*")=0,N28="Sin CFDI"),"No identificado",IF(OR(ABS(SUMIF($A$8:$A$114,A28,$L$8:$L$114))&gt;Reglas!$C$7,ABS(SUMIF($A$8:$A$114,A28,$M$8:$M$114))&gt;Reglas!$C$8,ABS(AC28)&gt;Reglas!$C$7,ABS(N(AB28))&gt;Reglas!$C$8),"Conciliado (revisar)",IF(OR(N28="Varios CFDI",N28="Parcial"),"Conciliado (validar)","Conciliado")))</f>
        <v/>
      </c>
      <c r="AE28" s="146" t="n"/>
      <c r="AF28" s="143" t="n"/>
      <c r="AG28" s="143" t="n"/>
      <c r="AH28" s="143" t="n"/>
      <c r="AI28" s="143" t="n"/>
      <c r="AJ28" s="141" t="n"/>
      <c r="AK28" s="143">
        <f>IF(AL28=1,ROUND(SUMIF($A$8:$A$114,A28,$D$8:$D$114)+SUMIF($A$8:$A$114,A28,$E$8:$E$114)-SUMIF($A$8:$A$114,A28,$W$8:$W$114),2),0)</f>
        <v/>
      </c>
      <c r="AL28" s="144" t="n"/>
    </row>
    <row r="29" ht="24" customHeight="1" s="100">
      <c r="A29" s="141" t="n"/>
      <c r="B29" s="142" t="n"/>
      <c r="C29" s="141" t="n"/>
      <c r="D29" s="143" t="n"/>
      <c r="E29" s="143" t="n"/>
      <c r="F29" s="141" t="n"/>
      <c r="G29" s="142" t="n"/>
      <c r="H29" s="141" t="n"/>
      <c r="I29" s="141" t="n"/>
      <c r="J29" s="143" t="n"/>
      <c r="K29" s="143" t="n"/>
      <c r="L29" s="143">
        <f>IF(OR(F29="",AL29=0),"",(D29+E29)-(J29+K29))</f>
        <v/>
      </c>
      <c r="M29" s="144">
        <f>IF(OR(F29="",AL29=0,B29=""),"",G29-B29)</f>
        <v/>
      </c>
      <c r="N29" s="141" t="n"/>
      <c r="O29" s="141" t="n"/>
      <c r="P29" s="141" t="n"/>
      <c r="Q29" s="142" t="n"/>
      <c r="R29" s="141" t="n"/>
      <c r="S29" s="141" t="n"/>
      <c r="T29" s="141" t="n"/>
      <c r="U29" s="141" t="n"/>
      <c r="V29" s="143" t="n"/>
      <c r="W29" s="143" t="n"/>
      <c r="X29" s="143">
        <f>IF(OR(V29="",V29=0),0,ROUND(W29/V29*AF29,2))</f>
        <v/>
      </c>
      <c r="Y29" s="143">
        <f>IF(OR(V29="",V29=0),0,ROUND(W29/V29*AG29,2))</f>
        <v/>
      </c>
      <c r="Z29" s="143">
        <f>IF(OR(V29="",V29=0),0,ROUND(W29/V29*AH29,2))</f>
        <v/>
      </c>
      <c r="AA29" s="143">
        <f>IF(OR(V29="",V29=0),0,ROUND(W29/V29*AI29,2))</f>
        <v/>
      </c>
      <c r="AB29" s="144" t="n"/>
      <c r="AC29" s="143">
        <f>ROUND(SUMIF($A$8:$A$114,A29,$D$8:$D$114)+SUMIF($A$8:$A$114,A29,$E$8:$E$114)-SUMIF($A$8:$A$114,A29,$W$8:$W$114),2)</f>
        <v/>
      </c>
      <c r="AD29" s="145">
        <f>IF(OR((SUMIF($A$8:$A$114,A29,$D$8:$D$114)+SUMIF($A$8:$A$114,A29,$E$8:$E$114))=0,COUNTIFS($A$8:$A$114,A29,$F$8:$F$114,"?*")=0,N29="Sin CFDI"),"No identificado",IF(OR(ABS(SUMIF($A$8:$A$114,A29,$L$8:$L$114))&gt;Reglas!$C$7,ABS(SUMIF($A$8:$A$114,A29,$M$8:$M$114))&gt;Reglas!$C$8,ABS(AC29)&gt;Reglas!$C$7,ABS(N(AB29))&gt;Reglas!$C$8),"Conciliado (revisar)",IF(OR(N29="Varios CFDI",N29="Parcial"),"Conciliado (validar)","Conciliado")))</f>
        <v/>
      </c>
      <c r="AE29" s="146" t="n"/>
      <c r="AF29" s="143" t="n"/>
      <c r="AG29" s="143" t="n"/>
      <c r="AH29" s="143" t="n"/>
      <c r="AI29" s="143" t="n"/>
      <c r="AJ29" s="141" t="n"/>
      <c r="AK29" s="143">
        <f>IF(AL29=1,ROUND(SUMIF($A$8:$A$114,A29,$D$8:$D$114)+SUMIF($A$8:$A$114,A29,$E$8:$E$114)-SUMIF($A$8:$A$114,A29,$W$8:$W$114),2),0)</f>
        <v/>
      </c>
      <c r="AL29" s="144" t="n"/>
    </row>
    <row r="30" ht="36" customHeight="1" s="100">
      <c r="A30" s="141" t="n"/>
      <c r="B30" s="142" t="n"/>
      <c r="C30" s="141" t="n"/>
      <c r="D30" s="143" t="n"/>
      <c r="E30" s="143" t="n"/>
      <c r="F30" s="141" t="n"/>
      <c r="G30" s="142" t="n"/>
      <c r="H30" s="141" t="n"/>
      <c r="I30" s="141" t="n"/>
      <c r="J30" s="143" t="n"/>
      <c r="K30" s="143" t="n"/>
      <c r="L30" s="143">
        <f>IF(OR(F30="",AL30=0),"",(D30+E30)-(J30+K30))</f>
        <v/>
      </c>
      <c r="M30" s="144">
        <f>IF(OR(F30="",AL30=0,B30=""),"",G30-B30)</f>
        <v/>
      </c>
      <c r="N30" s="141" t="n"/>
      <c r="O30" s="141" t="n"/>
      <c r="P30" s="141" t="n"/>
      <c r="Q30" s="142" t="n"/>
      <c r="R30" s="141" t="n"/>
      <c r="S30" s="141" t="n"/>
      <c r="T30" s="141" t="n"/>
      <c r="U30" s="141" t="n"/>
      <c r="V30" s="143" t="n"/>
      <c r="W30" s="143" t="n"/>
      <c r="X30" s="143">
        <f>IF(OR(V30="",V30=0),0,ROUND(W30/V30*AF30,2))</f>
        <v/>
      </c>
      <c r="Y30" s="143">
        <f>IF(OR(V30="",V30=0),0,ROUND(W30/V30*AG30,2))</f>
        <v/>
      </c>
      <c r="Z30" s="143">
        <f>IF(OR(V30="",V30=0),0,ROUND(W30/V30*AH30,2))</f>
        <v/>
      </c>
      <c r="AA30" s="143">
        <f>IF(OR(V30="",V30=0),0,ROUND(W30/V30*AI30,2))</f>
        <v/>
      </c>
      <c r="AB30" s="144" t="n"/>
      <c r="AC30" s="143">
        <f>ROUND(SUMIF($A$8:$A$114,A30,$D$8:$D$114)+SUMIF($A$8:$A$114,A30,$E$8:$E$114)-SUMIF($A$8:$A$114,A30,$W$8:$W$114),2)</f>
        <v/>
      </c>
      <c r="AD30" s="145">
        <f>IF(OR((SUMIF($A$8:$A$114,A30,$D$8:$D$114)+SUMIF($A$8:$A$114,A30,$E$8:$E$114))=0,COUNTIFS($A$8:$A$114,A30,$F$8:$F$114,"?*")=0,N30="Sin CFDI"),"No identificado",IF(OR(ABS(SUMIF($A$8:$A$114,A30,$L$8:$L$114))&gt;Reglas!$C$7,ABS(SUMIF($A$8:$A$114,A30,$M$8:$M$114))&gt;Reglas!$C$8,ABS(AC30)&gt;Reglas!$C$7,ABS(N(AB30))&gt;Reglas!$C$8),"Conciliado (revisar)",IF(OR(N30="Varios CFDI",N30="Parcial"),"Conciliado (validar)","Conciliado")))</f>
        <v/>
      </c>
      <c r="AE30" s="146" t="n"/>
      <c r="AF30" s="143" t="n"/>
      <c r="AG30" s="143" t="n"/>
      <c r="AH30" s="143" t="n"/>
      <c r="AI30" s="143" t="n"/>
      <c r="AJ30" s="141" t="n"/>
      <c r="AK30" s="143">
        <f>IF(AL30=1,ROUND(SUMIF($A$8:$A$114,A30,$D$8:$D$114)+SUMIF($A$8:$A$114,A30,$E$8:$E$114)-SUMIF($A$8:$A$114,A30,$W$8:$W$114),2),0)</f>
        <v/>
      </c>
      <c r="AL30" s="144" t="n"/>
    </row>
    <row r="31" ht="36" customHeight="1" s="100">
      <c r="A31" s="141" t="n"/>
      <c r="B31" s="142" t="n"/>
      <c r="C31" s="141" t="n"/>
      <c r="D31" s="143" t="n"/>
      <c r="E31" s="143" t="n"/>
      <c r="F31" s="141" t="n"/>
      <c r="G31" s="142" t="n"/>
      <c r="H31" s="141" t="n"/>
      <c r="I31" s="141" t="n"/>
      <c r="J31" s="143" t="n"/>
      <c r="K31" s="143" t="n"/>
      <c r="L31" s="143">
        <f>IF(OR(F31="",AL31=0),"",(D31+E31)-(J31+K31))</f>
        <v/>
      </c>
      <c r="M31" s="144">
        <f>IF(OR(F31="",AL31=0,B31=""),"",G31-B31)</f>
        <v/>
      </c>
      <c r="N31" s="141" t="n"/>
      <c r="O31" s="141" t="n"/>
      <c r="P31" s="141" t="n"/>
      <c r="Q31" s="142" t="n"/>
      <c r="R31" s="141" t="n"/>
      <c r="S31" s="141" t="n"/>
      <c r="T31" s="141" t="n"/>
      <c r="U31" s="141" t="n"/>
      <c r="V31" s="143" t="n"/>
      <c r="W31" s="143" t="n"/>
      <c r="X31" s="143">
        <f>IF(OR(V31="",V31=0),0,ROUND(W31/V31*AF31,2))</f>
        <v/>
      </c>
      <c r="Y31" s="143">
        <f>IF(OR(V31="",V31=0),0,ROUND(W31/V31*AG31,2))</f>
        <v/>
      </c>
      <c r="Z31" s="143">
        <f>IF(OR(V31="",V31=0),0,ROUND(W31/V31*AH31,2))</f>
        <v/>
      </c>
      <c r="AA31" s="143">
        <f>IF(OR(V31="",V31=0),0,ROUND(W31/V31*AI31,2))</f>
        <v/>
      </c>
      <c r="AB31" s="144" t="n"/>
      <c r="AC31" s="143">
        <f>ROUND(SUMIF($A$8:$A$114,A31,$D$8:$D$114)+SUMIF($A$8:$A$114,A31,$E$8:$E$114)-SUMIF($A$8:$A$114,A31,$W$8:$W$114),2)</f>
        <v/>
      </c>
      <c r="AD31" s="145">
        <f>IF(OR((SUMIF($A$8:$A$114,A31,$D$8:$D$114)+SUMIF($A$8:$A$114,A31,$E$8:$E$114))=0,COUNTIFS($A$8:$A$114,A31,$F$8:$F$114,"?*")=0,N31="Sin CFDI"),"No identificado",IF(OR(ABS(SUMIF($A$8:$A$114,A31,$L$8:$L$114))&gt;Reglas!$C$7,ABS(SUMIF($A$8:$A$114,A31,$M$8:$M$114))&gt;Reglas!$C$8,ABS(AC31)&gt;Reglas!$C$7,ABS(N(AB31))&gt;Reglas!$C$8),"Conciliado (revisar)",IF(OR(N31="Varios CFDI",N31="Parcial"),"Conciliado (validar)","Conciliado")))</f>
        <v/>
      </c>
      <c r="AE31" s="146" t="n"/>
      <c r="AF31" s="143" t="n"/>
      <c r="AG31" s="143" t="n"/>
      <c r="AH31" s="143" t="n"/>
      <c r="AI31" s="143" t="n"/>
      <c r="AJ31" s="141" t="n"/>
      <c r="AK31" s="143">
        <f>IF(AL31=1,ROUND(SUMIF($A$8:$A$114,A31,$D$8:$D$114)+SUMIF($A$8:$A$114,A31,$E$8:$E$114)-SUMIF($A$8:$A$114,A31,$W$8:$W$114),2),0)</f>
        <v/>
      </c>
      <c r="AL31" s="144" t="n"/>
    </row>
    <row r="32" ht="24" customHeight="1" s="100">
      <c r="A32" s="141" t="n"/>
      <c r="B32" s="142" t="n"/>
      <c r="C32" s="141" t="n"/>
      <c r="D32" s="143" t="n"/>
      <c r="E32" s="143" t="n"/>
      <c r="F32" s="141" t="n"/>
      <c r="G32" s="142" t="n"/>
      <c r="H32" s="141" t="n"/>
      <c r="I32" s="146" t="n"/>
      <c r="J32" s="143" t="n"/>
      <c r="K32" s="143" t="n"/>
      <c r="L32" s="143">
        <f>IF(OR(F32="",AL32=0),"",(D32+E32)-(J32+K32))</f>
        <v/>
      </c>
      <c r="M32" s="144">
        <f>IF(OR(F32="",AL32=0,B32=""),"",G32-B32)</f>
        <v/>
      </c>
      <c r="N32" s="141" t="n"/>
      <c r="O32" s="141" t="n"/>
      <c r="P32" s="141" t="n"/>
      <c r="Q32" s="142" t="n"/>
      <c r="R32" s="141" t="n"/>
      <c r="S32" s="141" t="n"/>
      <c r="T32" s="141" t="n"/>
      <c r="U32" s="141" t="n"/>
      <c r="V32" s="143" t="n"/>
      <c r="W32" s="143" t="n"/>
      <c r="X32" s="143">
        <f>IF(OR(V32="",V32=0),0,ROUND(W32/V32*AF32,2))</f>
        <v/>
      </c>
      <c r="Y32" s="143">
        <f>IF(OR(V32="",V32=0),0,ROUND(W32/V32*AG32,2))</f>
        <v/>
      </c>
      <c r="Z32" s="143">
        <f>IF(OR(V32="",V32=0),0,ROUND(W32/V32*AH32,2))</f>
        <v/>
      </c>
      <c r="AA32" s="143">
        <f>IF(OR(V32="",V32=0),0,ROUND(W32/V32*AI32,2))</f>
        <v/>
      </c>
      <c r="AB32" s="144" t="n"/>
      <c r="AC32" s="143">
        <f>ROUND(SUMIF($A$8:$A$114,A32,$D$8:$D$114)+SUMIF($A$8:$A$114,A32,$E$8:$E$114)-SUMIF($A$8:$A$114,A32,$W$8:$W$114),2)</f>
        <v/>
      </c>
      <c r="AD32" s="145">
        <f>IF(OR((SUMIF($A$8:$A$114,A32,$D$8:$D$114)+SUMIF($A$8:$A$114,A32,$E$8:$E$114))=0,COUNTIFS($A$8:$A$114,A32,$F$8:$F$114,"?*")=0,N32="Sin CFDI"),"No identificado",IF(OR(ABS(SUMIF($A$8:$A$114,A32,$L$8:$L$114))&gt;Reglas!$C$7,ABS(SUMIF($A$8:$A$114,A32,$M$8:$M$114))&gt;Reglas!$C$8,ABS(AC32)&gt;Reglas!$C$7,ABS(N(AB32))&gt;Reglas!$C$8),"Conciliado (revisar)",IF(OR(N32="Varios CFDI",N32="Parcial"),"Conciliado (validar)","Conciliado")))</f>
        <v/>
      </c>
      <c r="AE32" s="146" t="n"/>
      <c r="AF32" s="143" t="n"/>
      <c r="AG32" s="143" t="n"/>
      <c r="AH32" s="143" t="n"/>
      <c r="AI32" s="143" t="n"/>
      <c r="AJ32" s="141" t="n"/>
      <c r="AK32" s="143">
        <f>IF(AL32=1,ROUND(SUMIF($A$8:$A$114,A32,$D$8:$D$114)+SUMIF($A$8:$A$114,A32,$E$8:$E$114)-SUMIF($A$8:$A$114,A32,$W$8:$W$114),2),0)</f>
        <v/>
      </c>
      <c r="AL32" s="144" t="n"/>
    </row>
    <row r="33" ht="24" customHeight="1" s="100">
      <c r="A33" s="141" t="n"/>
      <c r="B33" s="142" t="n"/>
      <c r="C33" s="141" t="n"/>
      <c r="D33" s="143" t="n"/>
      <c r="E33" s="143" t="n"/>
      <c r="F33" s="141" t="n"/>
      <c r="G33" s="142" t="n"/>
      <c r="H33" s="141" t="n"/>
      <c r="I33" s="141" t="n"/>
      <c r="J33" s="143" t="n"/>
      <c r="K33" s="143" t="n"/>
      <c r="L33" s="143">
        <f>IF(OR(F33="",AL33=0),"",(D33+E33)-(J33+K33))</f>
        <v/>
      </c>
      <c r="M33" s="144">
        <f>IF(OR(F33="",AL33=0,B33=""),"",G33-B33)</f>
        <v/>
      </c>
      <c r="N33" s="141" t="n"/>
      <c r="O33" s="141" t="n"/>
      <c r="P33" s="141" t="n"/>
      <c r="Q33" s="142" t="n"/>
      <c r="R33" s="141" t="n"/>
      <c r="S33" s="141" t="n"/>
      <c r="T33" s="141" t="n"/>
      <c r="U33" s="141" t="n"/>
      <c r="V33" s="143" t="n"/>
      <c r="W33" s="143" t="n"/>
      <c r="X33" s="143">
        <f>IF(OR(V33="",V33=0),0,ROUND(W33/V33*AF33,2))</f>
        <v/>
      </c>
      <c r="Y33" s="143">
        <f>IF(OR(V33="",V33=0),0,ROUND(W33/V33*AG33,2))</f>
        <v/>
      </c>
      <c r="Z33" s="143">
        <f>IF(OR(V33="",V33=0),0,ROUND(W33/V33*AH33,2))</f>
        <v/>
      </c>
      <c r="AA33" s="143">
        <f>IF(OR(V33="",V33=0),0,ROUND(W33/V33*AI33,2))</f>
        <v/>
      </c>
      <c r="AB33" s="144" t="n"/>
      <c r="AC33" s="143">
        <f>ROUND(SUMIF($A$8:$A$114,A33,$D$8:$D$114)+SUMIF($A$8:$A$114,A33,$E$8:$E$114)-SUMIF($A$8:$A$114,A33,$W$8:$W$114),2)</f>
        <v/>
      </c>
      <c r="AD33" s="145">
        <f>IF(OR((SUMIF($A$8:$A$114,A33,$D$8:$D$114)+SUMIF($A$8:$A$114,A33,$E$8:$E$114))=0,COUNTIFS($A$8:$A$114,A33,$F$8:$F$114,"?*")=0,N33="Sin CFDI"),"No identificado",IF(OR(ABS(SUMIF($A$8:$A$114,A33,$L$8:$L$114))&gt;Reglas!$C$7,ABS(SUMIF($A$8:$A$114,A33,$M$8:$M$114))&gt;Reglas!$C$8,ABS(AC33)&gt;Reglas!$C$7,ABS(N(AB33))&gt;Reglas!$C$8),"Conciliado (revisar)",IF(OR(N33="Varios CFDI",N33="Parcial"),"Conciliado (validar)","Conciliado")))</f>
        <v/>
      </c>
      <c r="AE33" s="146" t="n"/>
      <c r="AF33" s="143" t="n"/>
      <c r="AG33" s="143" t="n"/>
      <c r="AH33" s="143" t="n"/>
      <c r="AI33" s="143" t="n"/>
      <c r="AJ33" s="141" t="n"/>
      <c r="AK33" s="143">
        <f>IF(AL33=1,ROUND(SUMIF($A$8:$A$114,A33,$D$8:$D$114)+SUMIF($A$8:$A$114,A33,$E$8:$E$114)-SUMIF($A$8:$A$114,A33,$W$8:$W$114),2),0)</f>
        <v/>
      </c>
      <c r="AL33" s="144" t="n"/>
    </row>
    <row r="34" ht="14.25" customHeight="1" s="100">
      <c r="A34" s="141" t="n"/>
      <c r="B34" s="142" t="n"/>
      <c r="C34" s="141" t="n"/>
      <c r="D34" s="143" t="n"/>
      <c r="E34" s="143" t="n"/>
      <c r="F34" s="141" t="n"/>
      <c r="G34" s="142" t="n"/>
      <c r="H34" s="141" t="n"/>
      <c r="I34" s="141" t="n"/>
      <c r="J34" s="143" t="n"/>
      <c r="K34" s="143" t="n"/>
      <c r="L34" s="143">
        <f>IF(OR(F34="",AL34=0),"",(D34+E34)-(J34+K34))</f>
        <v/>
      </c>
      <c r="M34" s="144">
        <f>IF(OR(F34="",AL34=0,B34=""),"",G34-B34)</f>
        <v/>
      </c>
      <c r="N34" s="141" t="n"/>
      <c r="O34" s="141" t="n"/>
      <c r="P34" s="141" t="n"/>
      <c r="Q34" s="142" t="n"/>
      <c r="R34" s="141" t="n"/>
      <c r="S34" s="141" t="n"/>
      <c r="T34" s="141" t="n"/>
      <c r="U34" s="141" t="n"/>
      <c r="V34" s="143" t="n"/>
      <c r="W34" s="143" t="n"/>
      <c r="X34" s="143">
        <f>IF(OR(V34="",V34=0),0,ROUND(W34/V34*AF34,2))</f>
        <v/>
      </c>
      <c r="Y34" s="143">
        <f>IF(OR(V34="",V34=0),0,ROUND(W34/V34*AG34,2))</f>
        <v/>
      </c>
      <c r="Z34" s="143">
        <f>IF(OR(V34="",V34=0),0,ROUND(W34/V34*AH34,2))</f>
        <v/>
      </c>
      <c r="AA34" s="143">
        <f>IF(OR(V34="",V34=0),0,ROUND(W34/V34*AI34,2))</f>
        <v/>
      </c>
      <c r="AB34" s="144" t="n"/>
      <c r="AC34" s="143">
        <f>ROUND(SUMIF($A$8:$A$114,A34,$D$8:$D$114)+SUMIF($A$8:$A$114,A34,$E$8:$E$114)-SUMIF($A$8:$A$114,A34,$W$8:$W$114),2)</f>
        <v/>
      </c>
      <c r="AD34" s="145">
        <f>IF(OR((SUMIF($A$8:$A$114,A34,$D$8:$D$114)+SUMIF($A$8:$A$114,A34,$E$8:$E$114))=0,COUNTIFS($A$8:$A$114,A34,$F$8:$F$114,"?*")=0,N34="Sin CFDI"),"No identificado",IF(OR(ABS(SUMIF($A$8:$A$114,A34,$L$8:$L$114))&gt;Reglas!$C$7,ABS(SUMIF($A$8:$A$114,A34,$M$8:$M$114))&gt;Reglas!$C$8,ABS(AC34)&gt;Reglas!$C$7,ABS(N(AB34))&gt;Reglas!$C$8),"Conciliado (revisar)",IF(OR(N34="Varios CFDI",N34="Parcial"),"Conciliado (validar)","Conciliado")))</f>
        <v/>
      </c>
      <c r="AE34" s="146" t="n"/>
      <c r="AF34" s="143" t="n"/>
      <c r="AG34" s="143" t="n"/>
      <c r="AH34" s="143" t="n"/>
      <c r="AI34" s="143" t="n"/>
      <c r="AJ34" s="141" t="n"/>
      <c r="AK34" s="143">
        <f>IF(AL34=1,ROUND(SUMIF($A$8:$A$114,A34,$D$8:$D$114)+SUMIF($A$8:$A$114,A34,$E$8:$E$114)-SUMIF($A$8:$A$114,A34,$W$8:$W$114),2),0)</f>
        <v/>
      </c>
      <c r="AL34" s="144" t="n"/>
    </row>
    <row r="35" ht="22.5" customHeight="1" s="100">
      <c r="A35" s="141" t="n"/>
      <c r="B35" s="142" t="n"/>
      <c r="C35" s="141" t="n"/>
      <c r="D35" s="143" t="n"/>
      <c r="E35" s="143" t="n"/>
      <c r="F35" s="141" t="n"/>
      <c r="G35" s="142" t="n"/>
      <c r="H35" s="141" t="n"/>
      <c r="I35" s="141" t="n"/>
      <c r="J35" s="143" t="n"/>
      <c r="K35" s="143" t="n"/>
      <c r="L35" s="143">
        <f>IF(OR(F35="",AL35=0),"",(D35+E35)-(J35+K35))</f>
        <v/>
      </c>
      <c r="M35" s="144">
        <f>IF(OR(F35="",AL35=0,B35=""),"",G35-B35)</f>
        <v/>
      </c>
      <c r="N35" s="141" t="n"/>
      <c r="O35" s="141" t="n"/>
      <c r="P35" s="141" t="n"/>
      <c r="Q35" s="142" t="n"/>
      <c r="R35" s="141" t="n"/>
      <c r="S35" s="141" t="n"/>
      <c r="T35" s="141" t="n"/>
      <c r="U35" s="141" t="n"/>
      <c r="V35" s="143" t="n"/>
      <c r="W35" s="143" t="n"/>
      <c r="X35" s="143">
        <f>IF(OR(V35="",V35=0),0,ROUND(W35/V35*AF35,2))</f>
        <v/>
      </c>
      <c r="Y35" s="143">
        <f>IF(OR(V35="",V35=0),0,ROUND(W35/V35*AG35,2))</f>
        <v/>
      </c>
      <c r="Z35" s="143">
        <f>IF(OR(V35="",V35=0),0,ROUND(W35/V35*AH35,2))</f>
        <v/>
      </c>
      <c r="AA35" s="143">
        <f>IF(OR(V35="",V35=0),0,ROUND(W35/V35*AI35,2))</f>
        <v/>
      </c>
      <c r="AB35" s="144" t="n"/>
      <c r="AC35" s="143">
        <f>ROUND(SUMIF($A$8:$A$114,A35,$D$8:$D$114)+SUMIF($A$8:$A$114,A35,$E$8:$E$114)-SUMIF($A$8:$A$114,A35,$W$8:$W$114),2)</f>
        <v/>
      </c>
      <c r="AD35" s="145">
        <f>IF(OR((SUMIF($A$8:$A$114,A35,$D$8:$D$114)+SUMIF($A$8:$A$114,A35,$E$8:$E$114))=0,COUNTIFS($A$8:$A$114,A35,$F$8:$F$114,"?*")=0,N35="Sin CFDI"),"No identificado",IF(OR(ABS(SUMIF($A$8:$A$114,A35,$L$8:$L$114))&gt;Reglas!$C$7,ABS(SUMIF($A$8:$A$114,A35,$M$8:$M$114))&gt;Reglas!$C$8,ABS(AC35)&gt;Reglas!$C$7,ABS(N(AB35))&gt;Reglas!$C$8),"Conciliado (revisar)",IF(OR(N35="Varios CFDI",N35="Parcial"),"Conciliado (validar)","Conciliado")))</f>
        <v/>
      </c>
      <c r="AE35" s="146" t="n"/>
      <c r="AF35" s="143" t="n"/>
      <c r="AG35" s="143" t="n"/>
      <c r="AH35" s="143" t="n"/>
      <c r="AI35" s="143" t="n"/>
      <c r="AJ35" s="141" t="n"/>
      <c r="AK35" s="143">
        <f>IF(AL35=1,ROUND(SUMIF($A$8:$A$114,A35,$D$8:$D$114)+SUMIF($A$8:$A$114,A35,$E$8:$E$114)-SUMIF($A$8:$A$114,A35,$W$8:$W$114),2),0)</f>
        <v/>
      </c>
      <c r="AL35" s="144" t="n"/>
    </row>
    <row r="36" ht="22.5" customHeight="1" s="100">
      <c r="A36" s="141" t="n"/>
      <c r="B36" s="142" t="n"/>
      <c r="C36" s="141" t="n"/>
      <c r="D36" s="143" t="n"/>
      <c r="E36" s="143" t="n"/>
      <c r="F36" s="141" t="n"/>
      <c r="G36" s="142" t="n"/>
      <c r="H36" s="141" t="n"/>
      <c r="I36" s="141" t="n"/>
      <c r="J36" s="143" t="n"/>
      <c r="K36" s="143" t="n"/>
      <c r="L36" s="143">
        <f>IF(OR(F36="",AL36=0),"",(D36+E36)-(J36+K36))</f>
        <v/>
      </c>
      <c r="M36" s="144">
        <f>IF(OR(F36="",AL36=0,B36=""),"",G36-B36)</f>
        <v/>
      </c>
      <c r="N36" s="141" t="n"/>
      <c r="O36" s="141" t="n"/>
      <c r="P36" s="141" t="n"/>
      <c r="Q36" s="142" t="n"/>
      <c r="R36" s="141" t="n"/>
      <c r="S36" s="141" t="n"/>
      <c r="T36" s="141" t="n"/>
      <c r="U36" s="141" t="n"/>
      <c r="V36" s="143" t="n"/>
      <c r="W36" s="143" t="n"/>
      <c r="X36" s="143">
        <f>IF(OR(V36="",V36=0),0,ROUND(W36/V36*AF36,2))</f>
        <v/>
      </c>
      <c r="Y36" s="143">
        <f>IF(OR(V36="",V36=0),0,ROUND(W36/V36*AG36,2))</f>
        <v/>
      </c>
      <c r="Z36" s="143">
        <f>IF(OR(V36="",V36=0),0,ROUND(W36/V36*AH36,2))</f>
        <v/>
      </c>
      <c r="AA36" s="143">
        <f>IF(OR(V36="",V36=0),0,ROUND(W36/V36*AI36,2))</f>
        <v/>
      </c>
      <c r="AB36" s="144" t="n"/>
      <c r="AC36" s="143">
        <f>ROUND(SUMIF($A$8:$A$114,A36,$D$8:$D$114)+SUMIF($A$8:$A$114,A36,$E$8:$E$114)-SUMIF($A$8:$A$114,A36,$W$8:$W$114),2)</f>
        <v/>
      </c>
      <c r="AD36" s="145">
        <f>IF(OR((SUMIF($A$8:$A$114,A36,$D$8:$D$114)+SUMIF($A$8:$A$114,A36,$E$8:$E$114))=0,COUNTIFS($A$8:$A$114,A36,$F$8:$F$114,"?*")=0,N36="Sin CFDI"),"No identificado",IF(OR(ABS(SUMIF($A$8:$A$114,A36,$L$8:$L$114))&gt;Reglas!$C$7,ABS(SUMIF($A$8:$A$114,A36,$M$8:$M$114))&gt;Reglas!$C$8,ABS(AC36)&gt;Reglas!$C$7,ABS(N(AB36))&gt;Reglas!$C$8),"Conciliado (revisar)",IF(OR(N36="Varios CFDI",N36="Parcial"),"Conciliado (validar)","Conciliado")))</f>
        <v/>
      </c>
      <c r="AE36" s="146" t="n"/>
      <c r="AF36" s="143" t="n"/>
      <c r="AG36" s="143" t="n"/>
      <c r="AH36" s="143" t="n"/>
      <c r="AI36" s="143" t="n"/>
      <c r="AJ36" s="141" t="n"/>
      <c r="AK36" s="143">
        <f>IF(AL36=1,ROUND(SUMIF($A$8:$A$114,A36,$D$8:$D$114)+SUMIF($A$8:$A$114,A36,$E$8:$E$114)-SUMIF($A$8:$A$114,A36,$W$8:$W$114),2),0)</f>
        <v/>
      </c>
      <c r="AL36" s="144" t="n"/>
    </row>
    <row r="37" ht="14.25" customHeight="1" s="100">
      <c r="A37" s="141" t="n"/>
      <c r="B37" s="142" t="n"/>
      <c r="C37" s="141" t="n"/>
      <c r="D37" s="143" t="n"/>
      <c r="E37" s="143" t="n"/>
      <c r="F37" s="141" t="n"/>
      <c r="G37" s="142" t="n"/>
      <c r="H37" s="141" t="n"/>
      <c r="I37" s="141" t="n"/>
      <c r="J37" s="143" t="n"/>
      <c r="K37" s="143" t="n"/>
      <c r="L37" s="143">
        <f>IF(OR(F37="",AL37=0),"",(D37+E37)-(J37+K37))</f>
        <v/>
      </c>
      <c r="M37" s="144">
        <f>IF(OR(F37="",AL37=0,B37=""),"",G37-B37)</f>
        <v/>
      </c>
      <c r="N37" s="141" t="n"/>
      <c r="O37" s="141" t="n"/>
      <c r="P37" s="141" t="n"/>
      <c r="Q37" s="142" t="n"/>
      <c r="R37" s="141" t="n"/>
      <c r="S37" s="141" t="n"/>
      <c r="T37" s="141" t="n"/>
      <c r="U37" s="141" t="n"/>
      <c r="V37" s="143" t="n"/>
      <c r="W37" s="143" t="n"/>
      <c r="X37" s="143">
        <f>IF(OR(V37="",V37=0),0,ROUND(W37/V37*AF37,2))</f>
        <v/>
      </c>
      <c r="Y37" s="143">
        <f>IF(OR(V37="",V37=0),0,ROUND(W37/V37*AG37,2))</f>
        <v/>
      </c>
      <c r="Z37" s="143">
        <f>IF(OR(V37="",V37=0),0,ROUND(W37/V37*AH37,2))</f>
        <v/>
      </c>
      <c r="AA37" s="143">
        <f>IF(OR(V37="",V37=0),0,ROUND(W37/V37*AI37,2))</f>
        <v/>
      </c>
      <c r="AB37" s="144" t="n"/>
      <c r="AC37" s="143">
        <f>ROUND(SUMIF($A$8:$A$114,A37,$D$8:$D$114)+SUMIF($A$8:$A$114,A37,$E$8:$E$114)-SUMIF($A$8:$A$114,A37,$W$8:$W$114),2)</f>
        <v/>
      </c>
      <c r="AD37" s="145">
        <f>IF(OR((SUMIF($A$8:$A$114,A37,$D$8:$D$114)+SUMIF($A$8:$A$114,A37,$E$8:$E$114))=0,COUNTIFS($A$8:$A$114,A37,$F$8:$F$114,"?*")=0,N37="Sin CFDI"),"No identificado",IF(OR(ABS(SUMIF($A$8:$A$114,A37,$L$8:$L$114))&gt;Reglas!$C$7,ABS(SUMIF($A$8:$A$114,A37,$M$8:$M$114))&gt;Reglas!$C$8,ABS(AC37)&gt;Reglas!$C$7,ABS(N(AB37))&gt;Reglas!$C$8),"Conciliado (revisar)",IF(OR(N37="Varios CFDI",N37="Parcial"),"Conciliado (validar)","Conciliado")))</f>
        <v/>
      </c>
      <c r="AE37" s="146" t="n"/>
      <c r="AF37" s="143" t="n"/>
      <c r="AG37" s="143" t="n"/>
      <c r="AH37" s="143" t="n"/>
      <c r="AI37" s="143" t="n"/>
      <c r="AJ37" s="141" t="n"/>
      <c r="AK37" s="143">
        <f>IF(AL37=1,ROUND(SUMIF($A$8:$A$114,A37,$D$8:$D$114)+SUMIF($A$8:$A$114,A37,$E$8:$E$114)-SUMIF($A$8:$A$114,A37,$W$8:$W$114),2),0)</f>
        <v/>
      </c>
      <c r="AL37" s="144" t="n"/>
    </row>
    <row r="38" ht="22.5" customHeight="1" s="100">
      <c r="A38" s="141" t="n"/>
      <c r="B38" s="142" t="n"/>
      <c r="C38" s="141" t="n"/>
      <c r="D38" s="143" t="n"/>
      <c r="E38" s="143" t="n"/>
      <c r="F38" s="141" t="n"/>
      <c r="G38" s="142" t="n"/>
      <c r="H38" s="141" t="n"/>
      <c r="I38" s="141" t="n"/>
      <c r="J38" s="143" t="n"/>
      <c r="K38" s="143" t="n"/>
      <c r="L38" s="143">
        <f>IF(OR(F38="",AL38=0),"",(D38+E38)-(J38+K38))</f>
        <v/>
      </c>
      <c r="M38" s="144">
        <f>IF(OR(F38="",AL38=0,B38=""),"",G38-B38)</f>
        <v/>
      </c>
      <c r="N38" s="141" t="n"/>
      <c r="O38" s="141" t="n"/>
      <c r="P38" s="141" t="n"/>
      <c r="Q38" s="142" t="n"/>
      <c r="R38" s="141" t="n"/>
      <c r="S38" s="141" t="n"/>
      <c r="T38" s="141" t="n"/>
      <c r="U38" s="141" t="n"/>
      <c r="V38" s="143" t="n"/>
      <c r="W38" s="143" t="n"/>
      <c r="X38" s="143">
        <f>IF(OR(V38="",V38=0),0,ROUND(W38/V38*AF38,2))</f>
        <v/>
      </c>
      <c r="Y38" s="143">
        <f>IF(OR(V38="",V38=0),0,ROUND(W38/V38*AG38,2))</f>
        <v/>
      </c>
      <c r="Z38" s="143">
        <f>IF(OR(V38="",V38=0),0,ROUND(W38/V38*AH38,2))</f>
        <v/>
      </c>
      <c r="AA38" s="143">
        <f>IF(OR(V38="",V38=0),0,ROUND(W38/V38*AI38,2))</f>
        <v/>
      </c>
      <c r="AB38" s="144" t="n"/>
      <c r="AC38" s="143">
        <f>ROUND(SUMIF($A$8:$A$114,A38,$D$8:$D$114)+SUMIF($A$8:$A$114,A38,$E$8:$E$114)-SUMIF($A$8:$A$114,A38,$W$8:$W$114),2)</f>
        <v/>
      </c>
      <c r="AD38" s="145">
        <f>IF(OR((SUMIF($A$8:$A$114,A38,$D$8:$D$114)+SUMIF($A$8:$A$114,A38,$E$8:$E$114))=0,COUNTIFS($A$8:$A$114,A38,$F$8:$F$114,"?*")=0,N38="Sin CFDI"),"No identificado",IF(OR(ABS(SUMIF($A$8:$A$114,A38,$L$8:$L$114))&gt;Reglas!$C$7,ABS(SUMIF($A$8:$A$114,A38,$M$8:$M$114))&gt;Reglas!$C$8,ABS(AC38)&gt;Reglas!$C$7,ABS(N(AB38))&gt;Reglas!$C$8),"Conciliado (revisar)",IF(OR(N38="Varios CFDI",N38="Parcial"),"Conciliado (validar)","Conciliado")))</f>
        <v/>
      </c>
      <c r="AE38" s="146" t="n"/>
      <c r="AF38" s="143" t="n"/>
      <c r="AG38" s="143" t="n"/>
      <c r="AH38" s="143" t="n"/>
      <c r="AI38" s="143" t="n"/>
      <c r="AJ38" s="141" t="n"/>
      <c r="AK38" s="143">
        <f>IF(AL38=1,ROUND(SUMIF($A$8:$A$114,A38,$D$8:$D$114)+SUMIF($A$8:$A$114,A38,$E$8:$E$114)-SUMIF($A$8:$A$114,A38,$W$8:$W$114),2),0)</f>
        <v/>
      </c>
      <c r="AL38" s="144" t="n"/>
    </row>
    <row r="39" ht="22.5" customHeight="1" s="100">
      <c r="A39" s="141" t="n"/>
      <c r="B39" s="142" t="n"/>
      <c r="C39" s="141" t="n"/>
      <c r="D39" s="143" t="n"/>
      <c r="E39" s="143" t="n"/>
      <c r="F39" s="141" t="n"/>
      <c r="G39" s="142" t="n"/>
      <c r="H39" s="141" t="n"/>
      <c r="I39" s="141" t="n"/>
      <c r="J39" s="143" t="n"/>
      <c r="K39" s="143" t="n"/>
      <c r="L39" s="143">
        <f>IF(OR(F39="",AL39=0),"",(D39+E39)-(J39+K39))</f>
        <v/>
      </c>
      <c r="M39" s="144">
        <f>IF(OR(F39="",AL39=0,B39=""),"",G39-B39)</f>
        <v/>
      </c>
      <c r="N39" s="141" t="n"/>
      <c r="O39" s="141" t="n"/>
      <c r="P39" s="141" t="n"/>
      <c r="Q39" s="142" t="n"/>
      <c r="R39" s="141" t="n"/>
      <c r="S39" s="141" t="n"/>
      <c r="T39" s="141" t="n"/>
      <c r="U39" s="141" t="n"/>
      <c r="V39" s="143" t="n"/>
      <c r="W39" s="143" t="n"/>
      <c r="X39" s="143">
        <f>IF(OR(V39="",V39=0),0,ROUND(W39/V39*AF39,2))</f>
        <v/>
      </c>
      <c r="Y39" s="143">
        <f>IF(OR(V39="",V39=0),0,ROUND(W39/V39*AG39,2))</f>
        <v/>
      </c>
      <c r="Z39" s="143">
        <f>IF(OR(V39="",V39=0),0,ROUND(W39/V39*AH39,2))</f>
        <v/>
      </c>
      <c r="AA39" s="143">
        <f>IF(OR(V39="",V39=0),0,ROUND(W39/V39*AI39,2))</f>
        <v/>
      </c>
      <c r="AB39" s="144" t="n"/>
      <c r="AC39" s="143">
        <f>ROUND(SUMIF($A$8:$A$114,A39,$D$8:$D$114)+SUMIF($A$8:$A$114,A39,$E$8:$E$114)-SUMIF($A$8:$A$114,A39,$W$8:$W$114),2)</f>
        <v/>
      </c>
      <c r="AD39" s="145">
        <f>IF(OR((SUMIF($A$8:$A$114,A39,$D$8:$D$114)+SUMIF($A$8:$A$114,A39,$E$8:$E$114))=0,COUNTIFS($A$8:$A$114,A39,$F$8:$F$114,"?*")=0,N39="Sin CFDI"),"No identificado",IF(OR(ABS(SUMIF($A$8:$A$114,A39,$L$8:$L$114))&gt;Reglas!$C$7,ABS(SUMIF($A$8:$A$114,A39,$M$8:$M$114))&gt;Reglas!$C$8,ABS(AC39)&gt;Reglas!$C$7,ABS(N(AB39))&gt;Reglas!$C$8),"Conciliado (revisar)",IF(OR(N39="Varios CFDI",N39="Parcial"),"Conciliado (validar)","Conciliado")))</f>
        <v/>
      </c>
      <c r="AE39" s="146" t="n"/>
      <c r="AF39" s="143" t="n"/>
      <c r="AG39" s="143" t="n"/>
      <c r="AH39" s="143" t="n"/>
      <c r="AI39" s="143" t="n"/>
      <c r="AJ39" s="141" t="n"/>
      <c r="AK39" s="143">
        <f>IF(AL39=1,ROUND(SUMIF($A$8:$A$114,A39,$D$8:$D$114)+SUMIF($A$8:$A$114,A39,$E$8:$E$114)-SUMIF($A$8:$A$114,A39,$W$8:$W$114),2),0)</f>
        <v/>
      </c>
      <c r="AL39" s="144" t="n"/>
    </row>
    <row r="40" ht="24" customHeight="1" s="100">
      <c r="A40" s="141" t="n"/>
      <c r="B40" s="142" t="n"/>
      <c r="C40" s="141" t="n"/>
      <c r="D40" s="143" t="n"/>
      <c r="E40" s="143" t="n"/>
      <c r="F40" s="141" t="n"/>
      <c r="G40" s="142" t="n"/>
      <c r="H40" s="141" t="n"/>
      <c r="I40" s="141" t="n"/>
      <c r="J40" s="143" t="n"/>
      <c r="K40" s="143" t="n"/>
      <c r="L40" s="143">
        <f>IF(OR(F40="",AL40=0),"",(D40+E40)-(J40+K40))</f>
        <v/>
      </c>
      <c r="M40" s="144">
        <f>IF(OR(F40="",AL40=0,B40=""),"",G40-B40)</f>
        <v/>
      </c>
      <c r="N40" s="141" t="n"/>
      <c r="O40" s="141" t="n"/>
      <c r="P40" s="141" t="n"/>
      <c r="Q40" s="142" t="n"/>
      <c r="R40" s="141" t="n"/>
      <c r="S40" s="141" t="n"/>
      <c r="T40" s="141" t="n"/>
      <c r="U40" s="141" t="n"/>
      <c r="V40" s="143" t="n"/>
      <c r="W40" s="143" t="n"/>
      <c r="X40" s="143">
        <f>IF(OR(V40="",V40=0),0,ROUND(W40/V40*AF40,2))</f>
        <v/>
      </c>
      <c r="Y40" s="143">
        <f>IF(OR(V40="",V40=0),0,ROUND(W40/V40*AG40,2))</f>
        <v/>
      </c>
      <c r="Z40" s="143">
        <f>IF(OR(V40="",V40=0),0,ROUND(W40/V40*AH40,2))</f>
        <v/>
      </c>
      <c r="AA40" s="143">
        <f>IF(OR(V40="",V40=0),0,ROUND(W40/V40*AI40,2))</f>
        <v/>
      </c>
      <c r="AB40" s="144" t="n"/>
      <c r="AC40" s="143">
        <f>ROUND(SUMIF($A$8:$A$114,A40,$D$8:$D$114)+SUMIF($A$8:$A$114,A40,$E$8:$E$114)-SUMIF($A$8:$A$114,A40,$W$8:$W$114),2)</f>
        <v/>
      </c>
      <c r="AD40" s="145">
        <f>IF(OR((SUMIF($A$8:$A$114,A40,$D$8:$D$114)+SUMIF($A$8:$A$114,A40,$E$8:$E$114))=0,COUNTIFS($A$8:$A$114,A40,$F$8:$F$114,"?*")=0,N40="Sin CFDI"),"No identificado",IF(OR(ABS(SUMIF($A$8:$A$114,A40,$L$8:$L$114))&gt;Reglas!$C$7,ABS(SUMIF($A$8:$A$114,A40,$M$8:$M$114))&gt;Reglas!$C$8,ABS(AC40)&gt;Reglas!$C$7,ABS(N(AB40))&gt;Reglas!$C$8),"Conciliado (revisar)",IF(OR(N40="Varios CFDI",N40="Parcial"),"Conciliado (validar)","Conciliado")))</f>
        <v/>
      </c>
      <c r="AE40" s="146" t="n"/>
      <c r="AF40" s="143" t="n"/>
      <c r="AG40" s="143" t="n"/>
      <c r="AH40" s="143" t="n"/>
      <c r="AI40" s="143" t="n"/>
      <c r="AJ40" s="141" t="n"/>
      <c r="AK40" s="143">
        <f>IF(AL40=1,ROUND(SUMIF($A$8:$A$114,A40,$D$8:$D$114)+SUMIF($A$8:$A$114,A40,$E$8:$E$114)-SUMIF($A$8:$A$114,A40,$W$8:$W$114),2),0)</f>
        <v/>
      </c>
      <c r="AL40" s="144" t="n"/>
    </row>
    <row r="41" ht="14.25" customHeight="1" s="100">
      <c r="A41" s="141" t="n"/>
      <c r="B41" s="142" t="n"/>
      <c r="C41" s="141" t="n"/>
      <c r="D41" s="143" t="n"/>
      <c r="E41" s="143" t="n"/>
      <c r="F41" s="141" t="n"/>
      <c r="G41" s="142" t="n"/>
      <c r="H41" s="141" t="n"/>
      <c r="I41" s="141" t="n"/>
      <c r="J41" s="143" t="n"/>
      <c r="K41" s="143" t="n"/>
      <c r="L41" s="143">
        <f>IF(OR(F41="",AL41=0),"",(D41+E41)-(J41+K41))</f>
        <v/>
      </c>
      <c r="M41" s="144">
        <f>IF(OR(F41="",AL41=0,B41=""),"",G41-B41)</f>
        <v/>
      </c>
      <c r="N41" s="141" t="n"/>
      <c r="O41" s="141" t="n"/>
      <c r="P41" s="141" t="n"/>
      <c r="Q41" s="142" t="n"/>
      <c r="R41" s="141" t="n"/>
      <c r="S41" s="141" t="n"/>
      <c r="T41" s="141" t="n"/>
      <c r="U41" s="141" t="n"/>
      <c r="V41" s="143" t="n"/>
      <c r="W41" s="143" t="n"/>
      <c r="X41" s="143">
        <f>IF(OR(V41="",V41=0),0,ROUND(W41/V41*AF41,2))</f>
        <v/>
      </c>
      <c r="Y41" s="143">
        <f>IF(OR(V41="",V41=0),0,ROUND(W41/V41*AG41,2))</f>
        <v/>
      </c>
      <c r="Z41" s="143">
        <f>IF(OR(V41="",V41=0),0,ROUND(W41/V41*AH41,2))</f>
        <v/>
      </c>
      <c r="AA41" s="143">
        <f>IF(OR(V41="",V41=0),0,ROUND(W41/V41*AI41,2))</f>
        <v/>
      </c>
      <c r="AB41" s="144" t="n"/>
      <c r="AC41" s="143">
        <f>ROUND(SUMIF($A$8:$A$114,A41,$D$8:$D$114)+SUMIF($A$8:$A$114,A41,$E$8:$E$114)-SUMIF($A$8:$A$114,A41,$W$8:$W$114),2)</f>
        <v/>
      </c>
      <c r="AD41" s="145">
        <f>IF(OR((SUMIF($A$8:$A$114,A41,$D$8:$D$114)+SUMIF($A$8:$A$114,A41,$E$8:$E$114))=0,COUNTIFS($A$8:$A$114,A41,$F$8:$F$114,"?*")=0,N41="Sin CFDI"),"No identificado",IF(OR(ABS(SUMIF($A$8:$A$114,A41,$L$8:$L$114))&gt;Reglas!$C$7,ABS(SUMIF($A$8:$A$114,A41,$M$8:$M$114))&gt;Reglas!$C$8,ABS(AC41)&gt;Reglas!$C$7,ABS(N(AB41))&gt;Reglas!$C$8),"Conciliado (revisar)",IF(OR(N41="Varios CFDI",N41="Parcial"),"Conciliado (validar)","Conciliado")))</f>
        <v/>
      </c>
      <c r="AE41" s="146" t="n"/>
      <c r="AF41" s="143" t="n"/>
      <c r="AG41" s="143" t="n"/>
      <c r="AH41" s="143" t="n"/>
      <c r="AI41" s="143" t="n"/>
      <c r="AJ41" s="141" t="n"/>
      <c r="AK41" s="143">
        <f>IF(AL41=1,ROUND(SUMIF($A$8:$A$114,A41,$D$8:$D$114)+SUMIF($A$8:$A$114,A41,$E$8:$E$114)-SUMIF($A$8:$A$114,A41,$W$8:$W$114),2),0)</f>
        <v/>
      </c>
      <c r="AL41" s="144" t="n"/>
    </row>
    <row r="42" ht="24" customHeight="1" s="100">
      <c r="A42" s="141" t="n"/>
      <c r="B42" s="142" t="n"/>
      <c r="C42" s="141" t="n"/>
      <c r="D42" s="143" t="n"/>
      <c r="E42" s="143" t="n"/>
      <c r="F42" s="141" t="n"/>
      <c r="G42" s="142" t="n"/>
      <c r="H42" s="141" t="n"/>
      <c r="I42" s="141" t="n"/>
      <c r="J42" s="143" t="n"/>
      <c r="K42" s="143" t="n"/>
      <c r="L42" s="143">
        <f>IF(OR(F42="",AL42=0),"",(D42+E42)-(J42+K42))</f>
        <v/>
      </c>
      <c r="M42" s="144">
        <f>IF(OR(F42="",AL42=0,B42=""),"",G42-B42)</f>
        <v/>
      </c>
      <c r="N42" s="141" t="n"/>
      <c r="O42" s="141" t="n"/>
      <c r="P42" s="141" t="n"/>
      <c r="Q42" s="142" t="n"/>
      <c r="R42" s="141" t="n"/>
      <c r="S42" s="141" t="n"/>
      <c r="T42" s="141" t="n"/>
      <c r="U42" s="141" t="n"/>
      <c r="V42" s="143" t="n"/>
      <c r="W42" s="143" t="n"/>
      <c r="X42" s="143">
        <f>IF(OR(V42="",V42=0),0,ROUND(W42/V42*AF42,2))</f>
        <v/>
      </c>
      <c r="Y42" s="143">
        <f>IF(OR(V42="",V42=0),0,ROUND(W42/V42*AG42,2))</f>
        <v/>
      </c>
      <c r="Z42" s="143">
        <f>IF(OR(V42="",V42=0),0,ROUND(W42/V42*AH42,2))</f>
        <v/>
      </c>
      <c r="AA42" s="143">
        <f>IF(OR(V42="",V42=0),0,ROUND(W42/V42*AI42,2))</f>
        <v/>
      </c>
      <c r="AB42" s="144" t="n"/>
      <c r="AC42" s="143">
        <f>ROUND(SUMIF($A$8:$A$114,A42,$D$8:$D$114)+SUMIF($A$8:$A$114,A42,$E$8:$E$114)-SUMIF($A$8:$A$114,A42,$W$8:$W$114),2)</f>
        <v/>
      </c>
      <c r="AD42" s="145">
        <f>IF(OR((SUMIF($A$8:$A$114,A42,$D$8:$D$114)+SUMIF($A$8:$A$114,A42,$E$8:$E$114))=0,COUNTIFS($A$8:$A$114,A42,$F$8:$F$114,"?*")=0,N42="Sin CFDI"),"No identificado",IF(OR(ABS(SUMIF($A$8:$A$114,A42,$L$8:$L$114))&gt;Reglas!$C$7,ABS(SUMIF($A$8:$A$114,A42,$M$8:$M$114))&gt;Reglas!$C$8,ABS(AC42)&gt;Reglas!$C$7,ABS(N(AB42))&gt;Reglas!$C$8),"Conciliado (revisar)",IF(OR(N42="Varios CFDI",N42="Parcial"),"Conciliado (validar)","Conciliado")))</f>
        <v/>
      </c>
      <c r="AE42" s="146" t="n"/>
      <c r="AF42" s="143" t="n"/>
      <c r="AG42" s="143" t="n"/>
      <c r="AH42" s="143" t="n"/>
      <c r="AI42" s="143" t="n"/>
      <c r="AJ42" s="141" t="n"/>
      <c r="AK42" s="143">
        <f>IF(AL42=1,ROUND(SUMIF($A$8:$A$114,A42,$D$8:$D$114)+SUMIF($A$8:$A$114,A42,$E$8:$E$114)-SUMIF($A$8:$A$114,A42,$W$8:$W$114),2),0)</f>
        <v/>
      </c>
      <c r="AL42" s="144" t="n"/>
    </row>
    <row r="43" ht="24" customHeight="1" s="100">
      <c r="A43" s="141" t="n"/>
      <c r="B43" s="142" t="n"/>
      <c r="C43" s="141" t="n"/>
      <c r="D43" s="143" t="n"/>
      <c r="E43" s="143" t="n"/>
      <c r="F43" s="141" t="n"/>
      <c r="G43" s="142" t="n"/>
      <c r="H43" s="141" t="n"/>
      <c r="I43" s="141" t="n"/>
      <c r="J43" s="143" t="n"/>
      <c r="K43" s="143" t="n"/>
      <c r="L43" s="143">
        <f>IF(OR(F43="",AL43=0),"",(D43+E43)-(J43+K43))</f>
        <v/>
      </c>
      <c r="M43" s="144">
        <f>IF(OR(F43="",AL43=0,B43=""),"",G43-B43)</f>
        <v/>
      </c>
      <c r="N43" s="141" t="n"/>
      <c r="O43" s="141" t="n"/>
      <c r="P43" s="141" t="n"/>
      <c r="Q43" s="142" t="n"/>
      <c r="R43" s="141" t="n"/>
      <c r="S43" s="141" t="n"/>
      <c r="T43" s="141" t="n"/>
      <c r="U43" s="141" t="n"/>
      <c r="V43" s="143" t="n"/>
      <c r="W43" s="143" t="n"/>
      <c r="X43" s="143">
        <f>IF(OR(V43="",V43=0),0,ROUND(W43/V43*AF43,2))</f>
        <v/>
      </c>
      <c r="Y43" s="143">
        <f>IF(OR(V43="",V43=0),0,ROUND(W43/V43*AG43,2))</f>
        <v/>
      </c>
      <c r="Z43" s="143">
        <f>IF(OR(V43="",V43=0),0,ROUND(W43/V43*AH43,2))</f>
        <v/>
      </c>
      <c r="AA43" s="143">
        <f>IF(OR(V43="",V43=0),0,ROUND(W43/V43*AI43,2))</f>
        <v/>
      </c>
      <c r="AB43" s="144" t="n"/>
      <c r="AC43" s="143">
        <f>ROUND(SUMIF($A$8:$A$114,A43,$D$8:$D$114)+SUMIF($A$8:$A$114,A43,$E$8:$E$114)-SUMIF($A$8:$A$114,A43,$W$8:$W$114),2)</f>
        <v/>
      </c>
      <c r="AD43" s="145">
        <f>IF(OR((SUMIF($A$8:$A$114,A43,$D$8:$D$114)+SUMIF($A$8:$A$114,A43,$E$8:$E$114))=0,COUNTIFS($A$8:$A$114,A43,$F$8:$F$114,"?*")=0,N43="Sin CFDI"),"No identificado",IF(OR(ABS(SUMIF($A$8:$A$114,A43,$L$8:$L$114))&gt;Reglas!$C$7,ABS(SUMIF($A$8:$A$114,A43,$M$8:$M$114))&gt;Reglas!$C$8,ABS(AC43)&gt;Reglas!$C$7,ABS(N(AB43))&gt;Reglas!$C$8),"Conciliado (revisar)",IF(OR(N43="Varios CFDI",N43="Parcial"),"Conciliado (validar)","Conciliado")))</f>
        <v/>
      </c>
      <c r="AE43" s="146" t="n"/>
      <c r="AF43" s="143" t="n"/>
      <c r="AG43" s="143" t="n"/>
      <c r="AH43" s="143" t="n"/>
      <c r="AI43" s="143" t="n"/>
      <c r="AJ43" s="141" t="n"/>
      <c r="AK43" s="143">
        <f>IF(AL43=1,ROUND(SUMIF($A$8:$A$114,A43,$D$8:$D$114)+SUMIF($A$8:$A$114,A43,$E$8:$E$114)-SUMIF($A$8:$A$114,A43,$W$8:$W$114),2),0)</f>
        <v/>
      </c>
      <c r="AL43" s="144" t="n"/>
    </row>
    <row r="44" ht="14.25" customHeight="1" s="100">
      <c r="A44" s="141" t="n"/>
      <c r="B44" s="142" t="n"/>
      <c r="C44" s="141" t="n"/>
      <c r="D44" s="143" t="n"/>
      <c r="E44" s="143" t="n"/>
      <c r="F44" s="141" t="n"/>
      <c r="G44" s="142" t="n"/>
      <c r="H44" s="141" t="n"/>
      <c r="I44" s="141" t="n"/>
      <c r="J44" s="143" t="n"/>
      <c r="K44" s="143" t="n"/>
      <c r="L44" s="143">
        <f>IF(OR(F44="",AL44=0),"",(D44+E44)-(J44+K44))</f>
        <v/>
      </c>
      <c r="M44" s="144">
        <f>IF(OR(F44="",AL44=0,B44=""),"",G44-B44)</f>
        <v/>
      </c>
      <c r="N44" s="141" t="n"/>
      <c r="O44" s="141" t="n"/>
      <c r="P44" s="141" t="n"/>
      <c r="Q44" s="142" t="n"/>
      <c r="R44" s="141" t="n"/>
      <c r="S44" s="141" t="n"/>
      <c r="T44" s="141" t="n"/>
      <c r="U44" s="141" t="n"/>
      <c r="V44" s="143" t="n"/>
      <c r="W44" s="143" t="n"/>
      <c r="X44" s="143">
        <f>IF(OR(V44="",V44=0),0,ROUND(W44/V44*AF44,2))</f>
        <v/>
      </c>
      <c r="Y44" s="143">
        <f>IF(OR(V44="",V44=0),0,ROUND(W44/V44*AG44,2))</f>
        <v/>
      </c>
      <c r="Z44" s="143">
        <f>IF(OR(V44="",V44=0),0,ROUND(W44/V44*AH44,2))</f>
        <v/>
      </c>
      <c r="AA44" s="143">
        <f>IF(OR(V44="",V44=0),0,ROUND(W44/V44*AI44,2))</f>
        <v/>
      </c>
      <c r="AB44" s="144" t="n"/>
      <c r="AC44" s="143">
        <f>ROUND(SUMIF($A$8:$A$114,A44,$D$8:$D$114)+SUMIF($A$8:$A$114,A44,$E$8:$E$114)-SUMIF($A$8:$A$114,A44,$W$8:$W$114),2)</f>
        <v/>
      </c>
      <c r="AD44" s="145">
        <f>IF(OR((SUMIF($A$8:$A$114,A44,$D$8:$D$114)+SUMIF($A$8:$A$114,A44,$E$8:$E$114))=0,COUNTIFS($A$8:$A$114,A44,$F$8:$F$114,"?*")=0,N44="Sin CFDI"),"No identificado",IF(OR(ABS(SUMIF($A$8:$A$114,A44,$L$8:$L$114))&gt;Reglas!$C$7,ABS(SUMIF($A$8:$A$114,A44,$M$8:$M$114))&gt;Reglas!$C$8,ABS(AC44)&gt;Reglas!$C$7,ABS(N(AB44))&gt;Reglas!$C$8),"Conciliado (revisar)",IF(OR(N44="Varios CFDI",N44="Parcial"),"Conciliado (validar)","Conciliado")))</f>
        <v/>
      </c>
      <c r="AE44" s="146" t="n"/>
      <c r="AF44" s="143" t="n"/>
      <c r="AG44" s="143" t="n"/>
      <c r="AH44" s="143" t="n"/>
      <c r="AI44" s="143" t="n"/>
      <c r="AJ44" s="141" t="n"/>
      <c r="AK44" s="143">
        <f>IF(AL44=1,ROUND(SUMIF($A$8:$A$114,A44,$D$8:$D$114)+SUMIF($A$8:$A$114,A44,$E$8:$E$114)-SUMIF($A$8:$A$114,A44,$W$8:$W$114),2),0)</f>
        <v/>
      </c>
      <c r="AL44" s="144" t="n"/>
    </row>
    <row r="45" ht="24" customHeight="1" s="100">
      <c r="A45" s="141" t="n"/>
      <c r="B45" s="142" t="n"/>
      <c r="C45" s="141" t="n"/>
      <c r="D45" s="143" t="n"/>
      <c r="E45" s="143" t="n"/>
      <c r="F45" s="141" t="n"/>
      <c r="G45" s="142" t="n"/>
      <c r="H45" s="141" t="n"/>
      <c r="I45" s="141" t="n"/>
      <c r="J45" s="143" t="n"/>
      <c r="K45" s="143" t="n"/>
      <c r="L45" s="143">
        <f>IF(OR(F45="",AL45=0),"",(D45+E45)-(J45+K45))</f>
        <v/>
      </c>
      <c r="M45" s="144">
        <f>IF(OR(F45="",AL45=0,B45=""),"",G45-B45)</f>
        <v/>
      </c>
      <c r="N45" s="141" t="n"/>
      <c r="O45" s="141" t="n"/>
      <c r="P45" s="141" t="n"/>
      <c r="Q45" s="142" t="n"/>
      <c r="R45" s="141" t="n"/>
      <c r="S45" s="141" t="n"/>
      <c r="T45" s="141" t="n"/>
      <c r="U45" s="141" t="n"/>
      <c r="V45" s="143" t="n"/>
      <c r="W45" s="143" t="n"/>
      <c r="X45" s="143">
        <f>IF(OR(V45="",V45=0),0,ROUND(W45/V45*AF45,2))</f>
        <v/>
      </c>
      <c r="Y45" s="143">
        <f>IF(OR(V45="",V45=0),0,ROUND(W45/V45*AG45,2))</f>
        <v/>
      </c>
      <c r="Z45" s="143">
        <f>IF(OR(V45="",V45=0),0,ROUND(W45/V45*AH45,2))</f>
        <v/>
      </c>
      <c r="AA45" s="143">
        <f>IF(OR(V45="",V45=0),0,ROUND(W45/V45*AI45,2))</f>
        <v/>
      </c>
      <c r="AB45" s="144" t="n"/>
      <c r="AC45" s="143">
        <f>ROUND(SUMIF($A$8:$A$114,A45,$D$8:$D$114)+SUMIF($A$8:$A$114,A45,$E$8:$E$114)-SUMIF($A$8:$A$114,A45,$W$8:$W$114),2)</f>
        <v/>
      </c>
      <c r="AD45" s="145">
        <f>IF(OR((SUMIF($A$8:$A$114,A45,$D$8:$D$114)+SUMIF($A$8:$A$114,A45,$E$8:$E$114))=0,COUNTIFS($A$8:$A$114,A45,$F$8:$F$114,"?*")=0,N45="Sin CFDI"),"No identificado",IF(OR(ABS(SUMIF($A$8:$A$114,A45,$L$8:$L$114))&gt;Reglas!$C$7,ABS(SUMIF($A$8:$A$114,A45,$M$8:$M$114))&gt;Reglas!$C$8,ABS(AC45)&gt;Reglas!$C$7,ABS(N(AB45))&gt;Reglas!$C$8),"Conciliado (revisar)",IF(OR(N45="Varios CFDI",N45="Parcial"),"Conciliado (validar)","Conciliado")))</f>
        <v/>
      </c>
      <c r="AE45" s="146" t="n"/>
      <c r="AF45" s="143" t="n"/>
      <c r="AG45" s="143" t="n"/>
      <c r="AH45" s="143" t="n"/>
      <c r="AI45" s="143" t="n"/>
      <c r="AJ45" s="141" t="n"/>
      <c r="AK45" s="143">
        <f>IF(AL45=1,ROUND(SUMIF($A$8:$A$114,A45,$D$8:$D$114)+SUMIF($A$8:$A$114,A45,$E$8:$E$114)-SUMIF($A$8:$A$114,A45,$W$8:$W$114),2),0)</f>
        <v/>
      </c>
      <c r="AL45" s="144" t="n"/>
    </row>
    <row r="46" ht="14.25" customHeight="1" s="100">
      <c r="A46" s="141" t="n"/>
      <c r="B46" s="142" t="n"/>
      <c r="C46" s="141" t="n"/>
      <c r="D46" s="143" t="n"/>
      <c r="E46" s="143" t="n"/>
      <c r="F46" s="141" t="n"/>
      <c r="G46" s="142" t="n"/>
      <c r="H46" s="141" t="n"/>
      <c r="I46" s="141" t="n"/>
      <c r="J46" s="143" t="n"/>
      <c r="K46" s="143" t="n"/>
      <c r="L46" s="143">
        <f>IF(OR(F46="",AL46=0),"",(D46+E46)-(J46+K46))</f>
        <v/>
      </c>
      <c r="M46" s="144">
        <f>IF(OR(F46="",AL46=0,B46=""),"",G46-B46)</f>
        <v/>
      </c>
      <c r="N46" s="141" t="n"/>
      <c r="O46" s="141" t="n"/>
      <c r="P46" s="141" t="n"/>
      <c r="Q46" s="142" t="n"/>
      <c r="R46" s="141" t="n"/>
      <c r="S46" s="141" t="n"/>
      <c r="T46" s="141" t="n"/>
      <c r="U46" s="141" t="n"/>
      <c r="V46" s="143" t="n"/>
      <c r="W46" s="143" t="n"/>
      <c r="X46" s="143">
        <f>IF(OR(V46="",V46=0),0,ROUND(W46/V46*AF46,2))</f>
        <v/>
      </c>
      <c r="Y46" s="143">
        <f>IF(OR(V46="",V46=0),0,ROUND(W46/V46*AG46,2))</f>
        <v/>
      </c>
      <c r="Z46" s="143">
        <f>IF(OR(V46="",V46=0),0,ROUND(W46/V46*AH46,2))</f>
        <v/>
      </c>
      <c r="AA46" s="143">
        <f>IF(OR(V46="",V46=0),0,ROUND(W46/V46*AI46,2))</f>
        <v/>
      </c>
      <c r="AB46" s="144" t="n"/>
      <c r="AC46" s="143">
        <f>ROUND(SUMIF($A$8:$A$114,A46,$D$8:$D$114)+SUMIF($A$8:$A$114,A46,$E$8:$E$114)-SUMIF($A$8:$A$114,A46,$W$8:$W$114),2)</f>
        <v/>
      </c>
      <c r="AD46" s="145">
        <f>IF(OR((SUMIF($A$8:$A$114,A46,$D$8:$D$114)+SUMIF($A$8:$A$114,A46,$E$8:$E$114))=0,COUNTIFS($A$8:$A$114,A46,$F$8:$F$114,"?*")=0,N46="Sin CFDI"),"No identificado",IF(OR(ABS(SUMIF($A$8:$A$114,A46,$L$8:$L$114))&gt;Reglas!$C$7,ABS(SUMIF($A$8:$A$114,A46,$M$8:$M$114))&gt;Reglas!$C$8,ABS(AC46)&gt;Reglas!$C$7,ABS(N(AB46))&gt;Reglas!$C$8),"Conciliado (revisar)",IF(OR(N46="Varios CFDI",N46="Parcial"),"Conciliado (validar)","Conciliado")))</f>
        <v/>
      </c>
      <c r="AE46" s="146" t="n"/>
      <c r="AF46" s="143" t="n"/>
      <c r="AG46" s="143" t="n"/>
      <c r="AH46" s="143" t="n"/>
      <c r="AI46" s="143" t="n"/>
      <c r="AJ46" s="141" t="n"/>
      <c r="AK46" s="143">
        <f>IF(AL46=1,ROUND(SUMIF($A$8:$A$114,A46,$D$8:$D$114)+SUMIF($A$8:$A$114,A46,$E$8:$E$114)-SUMIF($A$8:$A$114,A46,$W$8:$W$114),2),0)</f>
        <v/>
      </c>
      <c r="AL46" s="144" t="n"/>
    </row>
    <row r="47" ht="22.5" customHeight="1" s="100">
      <c r="A47" s="141" t="n"/>
      <c r="B47" s="142" t="n"/>
      <c r="C47" s="141" t="n"/>
      <c r="D47" s="143" t="n"/>
      <c r="E47" s="143" t="n"/>
      <c r="F47" s="141" t="n"/>
      <c r="G47" s="142" t="n"/>
      <c r="H47" s="141" t="n"/>
      <c r="I47" s="141" t="n"/>
      <c r="J47" s="143" t="n"/>
      <c r="K47" s="143" t="n"/>
      <c r="L47" s="143">
        <f>IF(OR(F47="",AL47=0),"",(D47+E47)-(J47+K47))</f>
        <v/>
      </c>
      <c r="M47" s="144">
        <f>IF(OR(F47="",AL47=0,B47=""),"",G47-B47)</f>
        <v/>
      </c>
      <c r="N47" s="141" t="n"/>
      <c r="O47" s="141" t="n"/>
      <c r="P47" s="141" t="n"/>
      <c r="Q47" s="142" t="n"/>
      <c r="R47" s="141" t="n"/>
      <c r="S47" s="141" t="n"/>
      <c r="T47" s="141" t="n"/>
      <c r="U47" s="141" t="n"/>
      <c r="V47" s="143" t="n"/>
      <c r="W47" s="143" t="n"/>
      <c r="X47" s="143">
        <f>IF(OR(V47="",V47=0),0,ROUND(W47/V47*AF47,2))</f>
        <v/>
      </c>
      <c r="Y47" s="143">
        <f>IF(OR(V47="",V47=0),0,ROUND(W47/V47*AG47,2))</f>
        <v/>
      </c>
      <c r="Z47" s="143">
        <f>IF(OR(V47="",V47=0),0,ROUND(W47/V47*AH47,2))</f>
        <v/>
      </c>
      <c r="AA47" s="143">
        <f>IF(OR(V47="",V47=0),0,ROUND(W47/V47*AI47,2))</f>
        <v/>
      </c>
      <c r="AB47" s="144" t="n"/>
      <c r="AC47" s="143">
        <f>ROUND(SUMIF($A$8:$A$114,A47,$D$8:$D$114)+SUMIF($A$8:$A$114,A47,$E$8:$E$114)-SUMIF($A$8:$A$114,A47,$W$8:$W$114),2)</f>
        <v/>
      </c>
      <c r="AD47" s="145">
        <f>IF(OR((SUMIF($A$8:$A$114,A47,$D$8:$D$114)+SUMIF($A$8:$A$114,A47,$E$8:$E$114))=0,COUNTIFS($A$8:$A$114,A47,$F$8:$F$114,"?*")=0,N47="Sin CFDI"),"No identificado",IF(OR(ABS(SUMIF($A$8:$A$114,A47,$L$8:$L$114))&gt;Reglas!$C$7,ABS(SUMIF($A$8:$A$114,A47,$M$8:$M$114))&gt;Reglas!$C$8,ABS(AC47)&gt;Reglas!$C$7,ABS(N(AB47))&gt;Reglas!$C$8),"Conciliado (revisar)",IF(OR(N47="Varios CFDI",N47="Parcial"),"Conciliado (validar)","Conciliado")))</f>
        <v/>
      </c>
      <c r="AE47" s="146" t="n"/>
      <c r="AF47" s="143" t="n"/>
      <c r="AG47" s="143" t="n"/>
      <c r="AH47" s="143" t="n"/>
      <c r="AI47" s="143" t="n"/>
      <c r="AJ47" s="141" t="n"/>
      <c r="AK47" s="143">
        <f>IF(AL47=1,ROUND(SUMIF($A$8:$A$114,A47,$D$8:$D$114)+SUMIF($A$8:$A$114,A47,$E$8:$E$114)-SUMIF($A$8:$A$114,A47,$W$8:$W$114),2),0)</f>
        <v/>
      </c>
      <c r="AL47" s="144" t="n"/>
    </row>
    <row r="48" ht="22.5" customHeight="1" s="100">
      <c r="A48" s="141" t="n"/>
      <c r="B48" s="142" t="n"/>
      <c r="C48" s="141" t="n"/>
      <c r="D48" s="143" t="n"/>
      <c r="E48" s="143" t="n"/>
      <c r="F48" s="141" t="n"/>
      <c r="G48" s="142" t="n"/>
      <c r="H48" s="141" t="n"/>
      <c r="I48" s="141" t="n"/>
      <c r="J48" s="143" t="n"/>
      <c r="K48" s="143" t="n"/>
      <c r="L48" s="143">
        <f>IF(OR(F48="",AL48=0),"",(D48+E48)-(J48+K48))</f>
        <v/>
      </c>
      <c r="M48" s="144">
        <f>IF(OR(F48="",AL48=0,B48=""),"",G48-B48)</f>
        <v/>
      </c>
      <c r="N48" s="141" t="n"/>
      <c r="O48" s="141" t="n"/>
      <c r="P48" s="141" t="n"/>
      <c r="Q48" s="142" t="n"/>
      <c r="R48" s="141" t="n"/>
      <c r="S48" s="141" t="n"/>
      <c r="T48" s="141" t="n"/>
      <c r="U48" s="141" t="n"/>
      <c r="V48" s="143" t="n"/>
      <c r="W48" s="143" t="n"/>
      <c r="X48" s="143">
        <f>IF(OR(V48="",V48=0),0,ROUND(W48/V48*AF48,2))</f>
        <v/>
      </c>
      <c r="Y48" s="143">
        <f>IF(OR(V48="",V48=0),0,ROUND(W48/V48*AG48,2))</f>
        <v/>
      </c>
      <c r="Z48" s="143">
        <f>IF(OR(V48="",V48=0),0,ROUND(W48/V48*AH48,2))</f>
        <v/>
      </c>
      <c r="AA48" s="143">
        <f>IF(OR(V48="",V48=0),0,ROUND(W48/V48*AI48,2))</f>
        <v/>
      </c>
      <c r="AB48" s="144" t="n"/>
      <c r="AC48" s="143">
        <f>ROUND(SUMIF($A$8:$A$114,A48,$D$8:$D$114)+SUMIF($A$8:$A$114,A48,$E$8:$E$114)-SUMIF($A$8:$A$114,A48,$W$8:$W$114),2)</f>
        <v/>
      </c>
      <c r="AD48" s="145">
        <f>IF(OR((SUMIF($A$8:$A$114,A48,$D$8:$D$114)+SUMIF($A$8:$A$114,A48,$E$8:$E$114))=0,COUNTIFS($A$8:$A$114,A48,$F$8:$F$114,"?*")=0,N48="Sin CFDI"),"No identificado",IF(OR(ABS(SUMIF($A$8:$A$114,A48,$L$8:$L$114))&gt;Reglas!$C$7,ABS(SUMIF($A$8:$A$114,A48,$M$8:$M$114))&gt;Reglas!$C$8,ABS(AC48)&gt;Reglas!$C$7,ABS(N(AB48))&gt;Reglas!$C$8),"Conciliado (revisar)",IF(OR(N48="Varios CFDI",N48="Parcial"),"Conciliado (validar)","Conciliado")))</f>
        <v/>
      </c>
      <c r="AE48" s="146" t="n"/>
      <c r="AF48" s="143" t="n"/>
      <c r="AG48" s="143" t="n"/>
      <c r="AH48" s="143" t="n"/>
      <c r="AI48" s="143" t="n"/>
      <c r="AJ48" s="141" t="n"/>
      <c r="AK48" s="143">
        <f>IF(AL48=1,ROUND(SUMIF($A$8:$A$114,A48,$D$8:$D$114)+SUMIF($A$8:$A$114,A48,$E$8:$E$114)-SUMIF($A$8:$A$114,A48,$W$8:$W$114),2),0)</f>
        <v/>
      </c>
      <c r="AL48" s="144" t="n"/>
    </row>
    <row r="49" ht="22.5" customHeight="1" s="100">
      <c r="A49" s="141" t="n"/>
      <c r="B49" s="142" t="n"/>
      <c r="C49" s="141" t="n"/>
      <c r="D49" s="143" t="n"/>
      <c r="E49" s="143" t="n"/>
      <c r="F49" s="141" t="n"/>
      <c r="G49" s="142" t="n"/>
      <c r="H49" s="141" t="n"/>
      <c r="I49" s="141" t="n"/>
      <c r="J49" s="143" t="n"/>
      <c r="K49" s="143" t="n"/>
      <c r="L49" s="143">
        <f>IF(OR(F49="",AL49=0),"",(D49+E49)-(J49+K49))</f>
        <v/>
      </c>
      <c r="M49" s="144">
        <f>IF(OR(F49="",AL49=0,B49=""),"",G49-B49)</f>
        <v/>
      </c>
      <c r="N49" s="141" t="n"/>
      <c r="O49" s="141" t="n"/>
      <c r="P49" s="141" t="n"/>
      <c r="Q49" s="142" t="n"/>
      <c r="R49" s="141" t="n"/>
      <c r="S49" s="141" t="n"/>
      <c r="T49" s="141" t="n"/>
      <c r="U49" s="141" t="n"/>
      <c r="V49" s="143" t="n"/>
      <c r="W49" s="143" t="n"/>
      <c r="X49" s="143">
        <f>IF(OR(V49="",V49=0),0,ROUND(W49/V49*AF49,2))</f>
        <v/>
      </c>
      <c r="Y49" s="143">
        <f>IF(OR(V49="",V49=0),0,ROUND(W49/V49*AG49,2))</f>
        <v/>
      </c>
      <c r="Z49" s="143">
        <f>IF(OR(V49="",V49=0),0,ROUND(W49/V49*AH49,2))</f>
        <v/>
      </c>
      <c r="AA49" s="143">
        <f>IF(OR(V49="",V49=0),0,ROUND(W49/V49*AI49,2))</f>
        <v/>
      </c>
      <c r="AB49" s="144" t="n"/>
      <c r="AC49" s="143">
        <f>ROUND(SUMIF($A$8:$A$114,A49,$D$8:$D$114)+SUMIF($A$8:$A$114,A49,$E$8:$E$114)-SUMIF($A$8:$A$114,A49,$W$8:$W$114),2)</f>
        <v/>
      </c>
      <c r="AD49" s="145">
        <f>IF(OR((SUMIF($A$8:$A$114,A49,$D$8:$D$114)+SUMIF($A$8:$A$114,A49,$E$8:$E$114))=0,COUNTIFS($A$8:$A$114,A49,$F$8:$F$114,"?*")=0,N49="Sin CFDI"),"No identificado",IF(OR(ABS(SUMIF($A$8:$A$114,A49,$L$8:$L$114))&gt;Reglas!$C$7,ABS(SUMIF($A$8:$A$114,A49,$M$8:$M$114))&gt;Reglas!$C$8,ABS(AC49)&gt;Reglas!$C$7,ABS(N(AB49))&gt;Reglas!$C$8),"Conciliado (revisar)",IF(OR(N49="Varios CFDI",N49="Parcial"),"Conciliado (validar)","Conciliado")))</f>
        <v/>
      </c>
      <c r="AE49" s="146" t="n"/>
      <c r="AF49" s="143" t="n"/>
      <c r="AG49" s="143" t="n"/>
      <c r="AH49" s="143" t="n"/>
      <c r="AI49" s="143" t="n"/>
      <c r="AJ49" s="141" t="n"/>
      <c r="AK49" s="143">
        <f>IF(AL49=1,ROUND(SUMIF($A$8:$A$114,A49,$D$8:$D$114)+SUMIF($A$8:$A$114,A49,$E$8:$E$114)-SUMIF($A$8:$A$114,A49,$W$8:$W$114),2),0)</f>
        <v/>
      </c>
      <c r="AL49" s="144" t="n"/>
    </row>
    <row r="50" ht="14.25" customHeight="1" s="100">
      <c r="A50" s="141" t="n"/>
      <c r="B50" s="142" t="n"/>
      <c r="C50" s="141" t="n"/>
      <c r="D50" s="143" t="n"/>
      <c r="E50" s="143" t="n"/>
      <c r="F50" s="141" t="n"/>
      <c r="G50" s="142" t="n"/>
      <c r="H50" s="141" t="n"/>
      <c r="I50" s="141" t="n"/>
      <c r="J50" s="143" t="n"/>
      <c r="K50" s="143" t="n"/>
      <c r="L50" s="143">
        <f>IF(OR(F50="",AL50=0),"",(D50+E50)-(J50+K50))</f>
        <v/>
      </c>
      <c r="M50" s="144">
        <f>IF(OR(F50="",AL50=0,B50=""),"",G50-B50)</f>
        <v/>
      </c>
      <c r="N50" s="141" t="n"/>
      <c r="O50" s="141" t="n"/>
      <c r="P50" s="141" t="n"/>
      <c r="Q50" s="142" t="n"/>
      <c r="R50" s="141" t="n"/>
      <c r="S50" s="141" t="n"/>
      <c r="T50" s="141" t="n"/>
      <c r="U50" s="141" t="n"/>
      <c r="V50" s="143" t="n"/>
      <c r="W50" s="143" t="n"/>
      <c r="X50" s="143">
        <f>IF(OR(V50="",V50=0),0,ROUND(W50/V50*AF50,2))</f>
        <v/>
      </c>
      <c r="Y50" s="143">
        <f>IF(OR(V50="",V50=0),0,ROUND(W50/V50*AG50,2))</f>
        <v/>
      </c>
      <c r="Z50" s="143">
        <f>IF(OR(V50="",V50=0),0,ROUND(W50/V50*AH50,2))</f>
        <v/>
      </c>
      <c r="AA50" s="143">
        <f>IF(OR(V50="",V50=0),0,ROUND(W50/V50*AI50,2))</f>
        <v/>
      </c>
      <c r="AB50" s="144" t="n"/>
      <c r="AC50" s="143">
        <f>ROUND(SUMIF($A$8:$A$114,A50,$D$8:$D$114)+SUMIF($A$8:$A$114,A50,$E$8:$E$114)-SUMIF($A$8:$A$114,A50,$W$8:$W$114),2)</f>
        <v/>
      </c>
      <c r="AD50" s="145">
        <f>IF(OR((SUMIF($A$8:$A$114,A50,$D$8:$D$114)+SUMIF($A$8:$A$114,A50,$E$8:$E$114))=0,COUNTIFS($A$8:$A$114,A50,$F$8:$F$114,"?*")=0,N50="Sin CFDI"),"No identificado",IF(OR(ABS(SUMIF($A$8:$A$114,A50,$L$8:$L$114))&gt;Reglas!$C$7,ABS(SUMIF($A$8:$A$114,A50,$M$8:$M$114))&gt;Reglas!$C$8,ABS(AC50)&gt;Reglas!$C$7,ABS(N(AB50))&gt;Reglas!$C$8),"Conciliado (revisar)",IF(OR(N50="Varios CFDI",N50="Parcial"),"Conciliado (validar)","Conciliado")))</f>
        <v/>
      </c>
      <c r="AE50" s="146" t="n"/>
      <c r="AF50" s="143" t="n"/>
      <c r="AG50" s="143" t="n"/>
      <c r="AH50" s="143" t="n"/>
      <c r="AI50" s="143" t="n"/>
      <c r="AJ50" s="141" t="n"/>
      <c r="AK50" s="143">
        <f>IF(AL50=1,ROUND(SUMIF($A$8:$A$114,A50,$D$8:$D$114)+SUMIF($A$8:$A$114,A50,$E$8:$E$114)-SUMIF($A$8:$A$114,A50,$W$8:$W$114),2),0)</f>
        <v/>
      </c>
      <c r="AL50" s="144" t="n"/>
    </row>
    <row r="51" ht="22.5" customHeight="1" s="100">
      <c r="A51" s="141" t="n"/>
      <c r="B51" s="142" t="n"/>
      <c r="C51" s="141" t="n"/>
      <c r="D51" s="143" t="n"/>
      <c r="E51" s="143" t="n"/>
      <c r="F51" s="141" t="n"/>
      <c r="G51" s="142" t="n"/>
      <c r="H51" s="141" t="n"/>
      <c r="I51" s="141" t="n"/>
      <c r="J51" s="143" t="n"/>
      <c r="K51" s="143" t="n"/>
      <c r="L51" s="143">
        <f>IF(OR(F51="",AL51=0),"",(D51+E51)-(J51+K51))</f>
        <v/>
      </c>
      <c r="M51" s="144">
        <f>IF(OR(F51="",AL51=0,B51=""),"",G51-B51)</f>
        <v/>
      </c>
      <c r="N51" s="141" t="n"/>
      <c r="O51" s="141" t="n"/>
      <c r="P51" s="141" t="n"/>
      <c r="Q51" s="142" t="n"/>
      <c r="R51" s="141" t="n"/>
      <c r="S51" s="141" t="n"/>
      <c r="T51" s="141" t="n"/>
      <c r="U51" s="141" t="n"/>
      <c r="V51" s="143" t="n"/>
      <c r="W51" s="143" t="n"/>
      <c r="X51" s="143">
        <f>IF(OR(V51="",V51=0),0,ROUND(W51/V51*AF51,2))</f>
        <v/>
      </c>
      <c r="Y51" s="143">
        <f>IF(OR(V51="",V51=0),0,ROUND(W51/V51*AG51,2))</f>
        <v/>
      </c>
      <c r="Z51" s="143">
        <f>IF(OR(V51="",V51=0),0,ROUND(W51/V51*AH51,2))</f>
        <v/>
      </c>
      <c r="AA51" s="143">
        <f>IF(OR(V51="",V51=0),0,ROUND(W51/V51*AI51,2))</f>
        <v/>
      </c>
      <c r="AB51" s="144" t="n"/>
      <c r="AC51" s="143">
        <f>ROUND(SUMIF($A$8:$A$114,A51,$D$8:$D$114)+SUMIF($A$8:$A$114,A51,$E$8:$E$114)-SUMIF($A$8:$A$114,A51,$W$8:$W$114),2)</f>
        <v/>
      </c>
      <c r="AD51" s="145">
        <f>IF(OR((SUMIF($A$8:$A$114,A51,$D$8:$D$114)+SUMIF($A$8:$A$114,A51,$E$8:$E$114))=0,COUNTIFS($A$8:$A$114,A51,$F$8:$F$114,"?*")=0,N51="Sin CFDI"),"No identificado",IF(OR(ABS(SUMIF($A$8:$A$114,A51,$L$8:$L$114))&gt;Reglas!$C$7,ABS(SUMIF($A$8:$A$114,A51,$M$8:$M$114))&gt;Reglas!$C$8,ABS(AC51)&gt;Reglas!$C$7,ABS(N(AB51))&gt;Reglas!$C$8),"Conciliado (revisar)",IF(OR(N51="Varios CFDI",N51="Parcial"),"Conciliado (validar)","Conciliado")))</f>
        <v/>
      </c>
      <c r="AE51" s="146" t="n"/>
      <c r="AF51" s="143" t="n"/>
      <c r="AG51" s="143" t="n"/>
      <c r="AH51" s="143" t="n"/>
      <c r="AI51" s="143" t="n"/>
      <c r="AJ51" s="141" t="n"/>
      <c r="AK51" s="143">
        <f>IF(AL51=1,ROUND(SUMIF($A$8:$A$114,A51,$D$8:$D$114)+SUMIF($A$8:$A$114,A51,$E$8:$E$114)-SUMIF($A$8:$A$114,A51,$W$8:$W$114),2),0)</f>
        <v/>
      </c>
      <c r="AL51" s="144" t="n"/>
    </row>
    <row r="52" ht="22.5" customHeight="1" s="100">
      <c r="A52" s="141" t="n"/>
      <c r="B52" s="142" t="n"/>
      <c r="C52" s="141" t="n"/>
      <c r="D52" s="143" t="n"/>
      <c r="E52" s="143" t="n"/>
      <c r="F52" s="141" t="n"/>
      <c r="G52" s="142" t="n"/>
      <c r="H52" s="141" t="n"/>
      <c r="I52" s="141" t="n"/>
      <c r="J52" s="143" t="n"/>
      <c r="K52" s="143" t="n"/>
      <c r="L52" s="143">
        <f>IF(OR(F52="",AL52=0),"",(D52+E52)-(J52+K52))</f>
        <v/>
      </c>
      <c r="M52" s="144">
        <f>IF(OR(F52="",AL52=0,B52=""),"",G52-B52)</f>
        <v/>
      </c>
      <c r="N52" s="141" t="n"/>
      <c r="O52" s="141" t="n"/>
      <c r="P52" s="141" t="n"/>
      <c r="Q52" s="142" t="n"/>
      <c r="R52" s="141" t="n"/>
      <c r="S52" s="141" t="n"/>
      <c r="T52" s="141" t="n"/>
      <c r="U52" s="141" t="n"/>
      <c r="V52" s="143" t="n"/>
      <c r="W52" s="143" t="n"/>
      <c r="X52" s="143">
        <f>IF(OR(V52="",V52=0),0,ROUND(W52/V52*AF52,2))</f>
        <v/>
      </c>
      <c r="Y52" s="143">
        <f>IF(OR(V52="",V52=0),0,ROUND(W52/V52*AG52,2))</f>
        <v/>
      </c>
      <c r="Z52" s="143">
        <f>IF(OR(V52="",V52=0),0,ROUND(W52/V52*AH52,2))</f>
        <v/>
      </c>
      <c r="AA52" s="143">
        <f>IF(OR(V52="",V52=0),0,ROUND(W52/V52*AI52,2))</f>
        <v/>
      </c>
      <c r="AB52" s="144" t="n"/>
      <c r="AC52" s="143">
        <f>ROUND(SUMIF($A$8:$A$114,A52,$D$8:$D$114)+SUMIF($A$8:$A$114,A52,$E$8:$E$114)-SUMIF($A$8:$A$114,A52,$W$8:$W$114),2)</f>
        <v/>
      </c>
      <c r="AD52" s="145">
        <f>IF(OR((SUMIF($A$8:$A$114,A52,$D$8:$D$114)+SUMIF($A$8:$A$114,A52,$E$8:$E$114))=0,COUNTIFS($A$8:$A$114,A52,$F$8:$F$114,"?*")=0,N52="Sin CFDI"),"No identificado",IF(OR(ABS(SUMIF($A$8:$A$114,A52,$L$8:$L$114))&gt;Reglas!$C$7,ABS(SUMIF($A$8:$A$114,A52,$M$8:$M$114))&gt;Reglas!$C$8,ABS(AC52)&gt;Reglas!$C$7,ABS(N(AB52))&gt;Reglas!$C$8),"Conciliado (revisar)",IF(OR(N52="Varios CFDI",N52="Parcial"),"Conciliado (validar)","Conciliado")))</f>
        <v/>
      </c>
      <c r="AE52" s="146" t="n"/>
      <c r="AF52" s="143" t="n"/>
      <c r="AG52" s="143" t="n"/>
      <c r="AH52" s="143" t="n"/>
      <c r="AI52" s="143" t="n"/>
      <c r="AJ52" s="141" t="n"/>
      <c r="AK52" s="143">
        <f>IF(AL52=1,ROUND(SUMIF($A$8:$A$114,A52,$D$8:$D$114)+SUMIF($A$8:$A$114,A52,$E$8:$E$114)-SUMIF($A$8:$A$114,A52,$W$8:$W$114),2),0)</f>
        <v/>
      </c>
      <c r="AL52" s="144" t="n"/>
    </row>
    <row r="53" ht="14.25" customHeight="1" s="100">
      <c r="A53" s="141" t="n"/>
      <c r="B53" s="142" t="n"/>
      <c r="C53" s="141" t="n"/>
      <c r="D53" s="143" t="n"/>
      <c r="E53" s="143" t="n"/>
      <c r="F53" s="141" t="n"/>
      <c r="G53" s="142" t="n"/>
      <c r="H53" s="141" t="n"/>
      <c r="I53" s="141" t="n"/>
      <c r="J53" s="143" t="n"/>
      <c r="K53" s="143" t="n"/>
      <c r="L53" s="143">
        <f>IF(OR(F53="",AL53=0),"",(D53+E53)-(J53+K53))</f>
        <v/>
      </c>
      <c r="M53" s="144">
        <f>IF(OR(F53="",AL53=0,B53=""),"",G53-B53)</f>
        <v/>
      </c>
      <c r="N53" s="141" t="n"/>
      <c r="O53" s="141" t="n"/>
      <c r="P53" s="141" t="n"/>
      <c r="Q53" s="142" t="n"/>
      <c r="R53" s="141" t="n"/>
      <c r="S53" s="141" t="n"/>
      <c r="T53" s="141" t="n"/>
      <c r="U53" s="141" t="n"/>
      <c r="V53" s="143" t="n"/>
      <c r="W53" s="143" t="n"/>
      <c r="X53" s="143">
        <f>IF(OR(V53="",V53=0),0,ROUND(W53/V53*AF53,2))</f>
        <v/>
      </c>
      <c r="Y53" s="143">
        <f>IF(OR(V53="",V53=0),0,ROUND(W53/V53*AG53,2))</f>
        <v/>
      </c>
      <c r="Z53" s="143">
        <f>IF(OR(V53="",V53=0),0,ROUND(W53/V53*AH53,2))</f>
        <v/>
      </c>
      <c r="AA53" s="143">
        <f>IF(OR(V53="",V53=0),0,ROUND(W53/V53*AI53,2))</f>
        <v/>
      </c>
      <c r="AB53" s="144" t="n"/>
      <c r="AC53" s="143">
        <f>ROUND(SUMIF($A$8:$A$114,A53,$D$8:$D$114)+SUMIF($A$8:$A$114,A53,$E$8:$E$114)-SUMIF($A$8:$A$114,A53,$W$8:$W$114),2)</f>
        <v/>
      </c>
      <c r="AD53" s="145">
        <f>IF(OR((SUMIF($A$8:$A$114,A53,$D$8:$D$114)+SUMIF($A$8:$A$114,A53,$E$8:$E$114))=0,COUNTIFS($A$8:$A$114,A53,$F$8:$F$114,"?*")=0,N53="Sin CFDI"),"No identificado",IF(OR(ABS(SUMIF($A$8:$A$114,A53,$L$8:$L$114))&gt;Reglas!$C$7,ABS(SUMIF($A$8:$A$114,A53,$M$8:$M$114))&gt;Reglas!$C$8,ABS(AC53)&gt;Reglas!$C$7,ABS(N(AB53))&gt;Reglas!$C$8),"Conciliado (revisar)",IF(OR(N53="Varios CFDI",N53="Parcial"),"Conciliado (validar)","Conciliado")))</f>
        <v/>
      </c>
      <c r="AE53" s="146" t="n"/>
      <c r="AF53" s="143" t="n"/>
      <c r="AG53" s="143" t="n"/>
      <c r="AH53" s="143" t="n"/>
      <c r="AI53" s="143" t="n"/>
      <c r="AJ53" s="141" t="n"/>
      <c r="AK53" s="143">
        <f>IF(AL53=1,ROUND(SUMIF($A$8:$A$114,A53,$D$8:$D$114)+SUMIF($A$8:$A$114,A53,$E$8:$E$114)-SUMIF($A$8:$A$114,A53,$W$8:$W$114),2),0)</f>
        <v/>
      </c>
      <c r="AL53" s="144" t="n"/>
    </row>
    <row r="54" ht="14.25" customHeight="1" s="100">
      <c r="A54" s="141" t="n"/>
      <c r="B54" s="142" t="n"/>
      <c r="C54" s="141" t="n"/>
      <c r="D54" s="143" t="n"/>
      <c r="E54" s="143" t="n"/>
      <c r="F54" s="141" t="n"/>
      <c r="G54" s="142" t="n"/>
      <c r="H54" s="141" t="n"/>
      <c r="I54" s="141" t="n"/>
      <c r="J54" s="143" t="n"/>
      <c r="K54" s="143" t="n"/>
      <c r="L54" s="143">
        <f>IF(OR(F54="",AL54=0),"",(D54+E54)-(J54+K54))</f>
        <v/>
      </c>
      <c r="M54" s="144">
        <f>IF(OR(F54="",AL54=0,B54=""),"",G54-B54)</f>
        <v/>
      </c>
      <c r="N54" s="141" t="n"/>
      <c r="O54" s="141" t="n"/>
      <c r="P54" s="141" t="n"/>
      <c r="Q54" s="142" t="n"/>
      <c r="R54" s="141" t="n"/>
      <c r="S54" s="141" t="n"/>
      <c r="T54" s="141" t="n"/>
      <c r="U54" s="141" t="n"/>
      <c r="V54" s="143" t="n"/>
      <c r="W54" s="143" t="n"/>
      <c r="X54" s="143">
        <f>IF(OR(V54="",V54=0),0,ROUND(W54/V54*AF54,2))</f>
        <v/>
      </c>
      <c r="Y54" s="143">
        <f>IF(OR(V54="",V54=0),0,ROUND(W54/V54*AG54,2))</f>
        <v/>
      </c>
      <c r="Z54" s="143">
        <f>IF(OR(V54="",V54=0),0,ROUND(W54/V54*AH54,2))</f>
        <v/>
      </c>
      <c r="AA54" s="143">
        <f>IF(OR(V54="",V54=0),0,ROUND(W54/V54*AI54,2))</f>
        <v/>
      </c>
      <c r="AB54" s="144" t="n"/>
      <c r="AC54" s="143">
        <f>ROUND(SUMIF($A$8:$A$114,A54,$D$8:$D$114)+SUMIF($A$8:$A$114,A54,$E$8:$E$114)-SUMIF($A$8:$A$114,A54,$W$8:$W$114),2)</f>
        <v/>
      </c>
      <c r="AD54" s="145">
        <f>IF(OR((SUMIF($A$8:$A$114,A54,$D$8:$D$114)+SUMIF($A$8:$A$114,A54,$E$8:$E$114))=0,COUNTIFS($A$8:$A$114,A54,$F$8:$F$114,"?*")=0,N54="Sin CFDI"),"No identificado",IF(OR(ABS(SUMIF($A$8:$A$114,A54,$L$8:$L$114))&gt;Reglas!$C$7,ABS(SUMIF($A$8:$A$114,A54,$M$8:$M$114))&gt;Reglas!$C$8,ABS(AC54)&gt;Reglas!$C$7,ABS(N(AB54))&gt;Reglas!$C$8),"Conciliado (revisar)",IF(OR(N54="Varios CFDI",N54="Parcial"),"Conciliado (validar)","Conciliado")))</f>
        <v/>
      </c>
      <c r="AE54" s="146" t="n"/>
      <c r="AF54" s="143" t="n"/>
      <c r="AG54" s="143" t="n"/>
      <c r="AH54" s="143" t="n"/>
      <c r="AI54" s="143" t="n"/>
      <c r="AJ54" s="141" t="n"/>
      <c r="AK54" s="143">
        <f>IF(AL54=1,ROUND(SUMIF($A$8:$A$114,A54,$D$8:$D$114)+SUMIF($A$8:$A$114,A54,$E$8:$E$114)-SUMIF($A$8:$A$114,A54,$W$8:$W$114),2),0)</f>
        <v/>
      </c>
      <c r="AL54" s="144" t="n"/>
    </row>
    <row r="55" ht="14.25" customHeight="1" s="100">
      <c r="A55" s="141" t="n"/>
      <c r="B55" s="142" t="n"/>
      <c r="C55" s="141" t="n"/>
      <c r="D55" s="143" t="n"/>
      <c r="E55" s="143" t="n"/>
      <c r="F55" s="141" t="n"/>
      <c r="G55" s="142" t="n"/>
      <c r="H55" s="141" t="n"/>
      <c r="I55" s="141" t="n"/>
      <c r="J55" s="143" t="n"/>
      <c r="K55" s="143" t="n"/>
      <c r="L55" s="143">
        <f>IF(OR(F55="",AL55=0),"",(D55+E55)-(J55+K55))</f>
        <v/>
      </c>
      <c r="M55" s="144">
        <f>IF(OR(F55="",AL55=0,B55=""),"",G55-B55)</f>
        <v/>
      </c>
      <c r="N55" s="141" t="n"/>
      <c r="O55" s="141" t="n"/>
      <c r="P55" s="141" t="n"/>
      <c r="Q55" s="142" t="n"/>
      <c r="R55" s="141" t="n"/>
      <c r="S55" s="141" t="n"/>
      <c r="T55" s="141" t="n"/>
      <c r="U55" s="141" t="n"/>
      <c r="V55" s="143" t="n"/>
      <c r="W55" s="143" t="n"/>
      <c r="X55" s="143">
        <f>IF(OR(V55="",V55=0),0,ROUND(W55/V55*AF55,2))</f>
        <v/>
      </c>
      <c r="Y55" s="143">
        <f>IF(OR(V55="",V55=0),0,ROUND(W55/V55*AG55,2))</f>
        <v/>
      </c>
      <c r="Z55" s="143">
        <f>IF(OR(V55="",V55=0),0,ROUND(W55/V55*AH55,2))</f>
        <v/>
      </c>
      <c r="AA55" s="143">
        <f>IF(OR(V55="",V55=0),0,ROUND(W55/V55*AI55,2))</f>
        <v/>
      </c>
      <c r="AB55" s="144" t="n"/>
      <c r="AC55" s="143">
        <f>ROUND(SUMIF($A$8:$A$114,A55,$D$8:$D$114)+SUMIF($A$8:$A$114,A55,$E$8:$E$114)-SUMIF($A$8:$A$114,A55,$W$8:$W$114),2)</f>
        <v/>
      </c>
      <c r="AD55" s="145">
        <f>IF(OR((SUMIF($A$8:$A$114,A55,$D$8:$D$114)+SUMIF($A$8:$A$114,A55,$E$8:$E$114))=0,COUNTIFS($A$8:$A$114,A55,$F$8:$F$114,"?*")=0,N55="Sin CFDI"),"No identificado",IF(OR(ABS(SUMIF($A$8:$A$114,A55,$L$8:$L$114))&gt;Reglas!$C$7,ABS(SUMIF($A$8:$A$114,A55,$M$8:$M$114))&gt;Reglas!$C$8,ABS(AC55)&gt;Reglas!$C$7,ABS(N(AB55))&gt;Reglas!$C$8),"Conciliado (revisar)",IF(OR(N55="Varios CFDI",N55="Parcial"),"Conciliado (validar)","Conciliado")))</f>
        <v/>
      </c>
      <c r="AE55" s="146" t="n"/>
      <c r="AF55" s="143" t="n"/>
      <c r="AG55" s="143" t="n"/>
      <c r="AH55" s="143" t="n"/>
      <c r="AI55" s="143" t="n"/>
      <c r="AJ55" s="141" t="n"/>
      <c r="AK55" s="143">
        <f>IF(AL55=1,ROUND(SUMIF($A$8:$A$114,A55,$D$8:$D$114)+SUMIF($A$8:$A$114,A55,$E$8:$E$114)-SUMIF($A$8:$A$114,A55,$W$8:$W$114),2),0)</f>
        <v/>
      </c>
      <c r="AL55" s="144" t="n"/>
    </row>
    <row r="56" ht="14.25" customHeight="1" s="100">
      <c r="A56" s="141" t="n"/>
      <c r="B56" s="142" t="n"/>
      <c r="C56" s="141" t="n"/>
      <c r="D56" s="143" t="n"/>
      <c r="E56" s="143" t="n"/>
      <c r="F56" s="141" t="n"/>
      <c r="G56" s="142" t="n"/>
      <c r="H56" s="141" t="n"/>
      <c r="I56" s="141" t="n"/>
      <c r="J56" s="143" t="n"/>
      <c r="K56" s="143" t="n"/>
      <c r="L56" s="143">
        <f>IF(OR(F56="",AL56=0),"",(D56+E56)-(J56+K56))</f>
        <v/>
      </c>
      <c r="M56" s="144">
        <f>IF(OR(F56="",AL56=0,B56=""),"",G56-B56)</f>
        <v/>
      </c>
      <c r="N56" s="141" t="n"/>
      <c r="O56" s="141" t="n"/>
      <c r="P56" s="141" t="n"/>
      <c r="Q56" s="142" t="n"/>
      <c r="R56" s="141" t="n"/>
      <c r="S56" s="141" t="n"/>
      <c r="T56" s="141" t="n"/>
      <c r="U56" s="141" t="n"/>
      <c r="V56" s="143" t="n"/>
      <c r="W56" s="143" t="n"/>
      <c r="X56" s="143">
        <f>IF(OR(V56="",V56=0),0,ROUND(W56/V56*AF56,2))</f>
        <v/>
      </c>
      <c r="Y56" s="143">
        <f>IF(OR(V56="",V56=0),0,ROUND(W56/V56*AG56,2))</f>
        <v/>
      </c>
      <c r="Z56" s="143">
        <f>IF(OR(V56="",V56=0),0,ROUND(W56/V56*AH56,2))</f>
        <v/>
      </c>
      <c r="AA56" s="143">
        <f>IF(OR(V56="",V56=0),0,ROUND(W56/V56*AI56,2))</f>
        <v/>
      </c>
      <c r="AB56" s="144" t="n"/>
      <c r="AC56" s="143">
        <f>ROUND(SUMIF($A$8:$A$114,A56,$D$8:$D$114)+SUMIF($A$8:$A$114,A56,$E$8:$E$114)-SUMIF($A$8:$A$114,A56,$W$8:$W$114),2)</f>
        <v/>
      </c>
      <c r="AD56" s="145">
        <f>IF(OR((SUMIF($A$8:$A$114,A56,$D$8:$D$114)+SUMIF($A$8:$A$114,A56,$E$8:$E$114))=0,COUNTIFS($A$8:$A$114,A56,$F$8:$F$114,"?*")=0,N56="Sin CFDI"),"No identificado",IF(OR(ABS(SUMIF($A$8:$A$114,A56,$L$8:$L$114))&gt;Reglas!$C$7,ABS(SUMIF($A$8:$A$114,A56,$M$8:$M$114))&gt;Reglas!$C$8,ABS(AC56)&gt;Reglas!$C$7,ABS(N(AB56))&gt;Reglas!$C$8),"Conciliado (revisar)",IF(OR(N56="Varios CFDI",N56="Parcial"),"Conciliado (validar)","Conciliado")))</f>
        <v/>
      </c>
      <c r="AE56" s="146" t="n"/>
      <c r="AF56" s="143" t="n"/>
      <c r="AG56" s="143" t="n"/>
      <c r="AH56" s="143" t="n"/>
      <c r="AI56" s="143" t="n"/>
      <c r="AJ56" s="141" t="n"/>
      <c r="AK56" s="143">
        <f>IF(AL56=1,ROUND(SUMIF($A$8:$A$114,A56,$D$8:$D$114)+SUMIF($A$8:$A$114,A56,$E$8:$E$114)-SUMIF($A$8:$A$114,A56,$W$8:$W$114),2),0)</f>
        <v/>
      </c>
      <c r="AL56" s="144" t="n"/>
    </row>
    <row r="57" ht="24" customHeight="1" s="100">
      <c r="A57" s="141" t="n"/>
      <c r="B57" s="142" t="n"/>
      <c r="C57" s="141" t="n"/>
      <c r="D57" s="143" t="n"/>
      <c r="E57" s="143" t="n"/>
      <c r="F57" s="141" t="n"/>
      <c r="G57" s="142" t="n"/>
      <c r="H57" s="141" t="n"/>
      <c r="I57" s="141" t="n"/>
      <c r="J57" s="143" t="n"/>
      <c r="K57" s="143" t="n"/>
      <c r="L57" s="143">
        <f>IF(OR(F57="",AL57=0),"",(D57+E57)-(J57+K57))</f>
        <v/>
      </c>
      <c r="M57" s="144">
        <f>IF(OR(F57="",AL57=0,B57=""),"",G57-B57)</f>
        <v/>
      </c>
      <c r="N57" s="141" t="n"/>
      <c r="O57" s="141" t="n"/>
      <c r="P57" s="141" t="n"/>
      <c r="Q57" s="142" t="n"/>
      <c r="R57" s="141" t="n"/>
      <c r="S57" s="141" t="n"/>
      <c r="T57" s="141" t="n"/>
      <c r="U57" s="141" t="n"/>
      <c r="V57" s="143" t="n"/>
      <c r="W57" s="143" t="n"/>
      <c r="X57" s="143">
        <f>IF(OR(V57="",V57=0),0,ROUND(W57/V57*AF57,2))</f>
        <v/>
      </c>
      <c r="Y57" s="143">
        <f>IF(OR(V57="",V57=0),0,ROUND(W57/V57*AG57,2))</f>
        <v/>
      </c>
      <c r="Z57" s="143">
        <f>IF(OR(V57="",V57=0),0,ROUND(W57/V57*AH57,2))</f>
        <v/>
      </c>
      <c r="AA57" s="143">
        <f>IF(OR(V57="",V57=0),0,ROUND(W57/V57*AI57,2))</f>
        <v/>
      </c>
      <c r="AB57" s="144" t="n"/>
      <c r="AC57" s="143">
        <f>ROUND(SUMIF($A$8:$A$114,A57,$D$8:$D$114)+SUMIF($A$8:$A$114,A57,$E$8:$E$114)-SUMIF($A$8:$A$114,A57,$W$8:$W$114),2)</f>
        <v/>
      </c>
      <c r="AD57" s="145">
        <f>IF(OR((SUMIF($A$8:$A$114,A57,$D$8:$D$114)+SUMIF($A$8:$A$114,A57,$E$8:$E$114))=0,COUNTIFS($A$8:$A$114,A57,$F$8:$F$114,"?*")=0,N57="Sin CFDI"),"No identificado",IF(OR(ABS(SUMIF($A$8:$A$114,A57,$L$8:$L$114))&gt;Reglas!$C$7,ABS(SUMIF($A$8:$A$114,A57,$M$8:$M$114))&gt;Reglas!$C$8,ABS(AC57)&gt;Reglas!$C$7,ABS(N(AB57))&gt;Reglas!$C$8),"Conciliado (revisar)",IF(OR(N57="Varios CFDI",N57="Parcial"),"Conciliado (validar)","Conciliado")))</f>
        <v/>
      </c>
      <c r="AE57" s="146" t="n"/>
      <c r="AF57" s="143" t="n"/>
      <c r="AG57" s="143" t="n"/>
      <c r="AH57" s="143" t="n"/>
      <c r="AI57" s="143" t="n"/>
      <c r="AJ57" s="141" t="n"/>
      <c r="AK57" s="143">
        <f>IF(AL57=1,ROUND(SUMIF($A$8:$A$114,A57,$D$8:$D$114)+SUMIF($A$8:$A$114,A57,$E$8:$E$114)-SUMIF($A$8:$A$114,A57,$W$8:$W$114),2),0)</f>
        <v/>
      </c>
      <c r="AL57" s="144" t="n"/>
    </row>
    <row r="58" ht="14.25" customHeight="1" s="100">
      <c r="A58" s="141" t="n"/>
      <c r="B58" s="142" t="n"/>
      <c r="C58" s="141" t="n"/>
      <c r="D58" s="143" t="n"/>
      <c r="E58" s="143" t="n"/>
      <c r="F58" s="141" t="n"/>
      <c r="G58" s="142" t="n"/>
      <c r="H58" s="141" t="n"/>
      <c r="I58" s="141" t="n"/>
      <c r="J58" s="143" t="n"/>
      <c r="K58" s="143" t="n"/>
      <c r="L58" s="143">
        <f>IF(OR(F58="",AL58=0),"",(D58+E58)-(J58+K58))</f>
        <v/>
      </c>
      <c r="M58" s="144">
        <f>IF(OR(F58="",AL58=0,B58=""),"",G58-B58)</f>
        <v/>
      </c>
      <c r="N58" s="141" t="n"/>
      <c r="O58" s="141" t="n"/>
      <c r="P58" s="141" t="n"/>
      <c r="Q58" s="142" t="n"/>
      <c r="R58" s="141" t="n"/>
      <c r="S58" s="141" t="n"/>
      <c r="T58" s="141" t="n"/>
      <c r="U58" s="141" t="n"/>
      <c r="V58" s="143" t="n"/>
      <c r="W58" s="143" t="n"/>
      <c r="X58" s="143">
        <f>IF(OR(V58="",V58=0),0,ROUND(W58/V58*AF58,2))</f>
        <v/>
      </c>
      <c r="Y58" s="143">
        <f>IF(OR(V58="",V58=0),0,ROUND(W58/V58*AG58,2))</f>
        <v/>
      </c>
      <c r="Z58" s="143">
        <f>IF(OR(V58="",V58=0),0,ROUND(W58/V58*AH58,2))</f>
        <v/>
      </c>
      <c r="AA58" s="143">
        <f>IF(OR(V58="",V58=0),0,ROUND(W58/V58*AI58,2))</f>
        <v/>
      </c>
      <c r="AB58" s="144" t="n"/>
      <c r="AC58" s="143">
        <f>ROUND(SUMIF($A$8:$A$114,A58,$D$8:$D$114)+SUMIF($A$8:$A$114,A58,$E$8:$E$114)-SUMIF($A$8:$A$114,A58,$W$8:$W$114),2)</f>
        <v/>
      </c>
      <c r="AD58" s="145">
        <f>IF(OR((SUMIF($A$8:$A$114,A58,$D$8:$D$114)+SUMIF($A$8:$A$114,A58,$E$8:$E$114))=0,COUNTIFS($A$8:$A$114,A58,$F$8:$F$114,"?*")=0,N58="Sin CFDI"),"No identificado",IF(OR(ABS(SUMIF($A$8:$A$114,A58,$L$8:$L$114))&gt;Reglas!$C$7,ABS(SUMIF($A$8:$A$114,A58,$M$8:$M$114))&gt;Reglas!$C$8,ABS(AC58)&gt;Reglas!$C$7,ABS(N(AB58))&gt;Reglas!$C$8),"Conciliado (revisar)",IF(OR(N58="Varios CFDI",N58="Parcial"),"Conciliado (validar)","Conciliado")))</f>
        <v/>
      </c>
      <c r="AE58" s="146" t="n"/>
      <c r="AF58" s="143" t="n"/>
      <c r="AG58" s="143" t="n"/>
      <c r="AH58" s="143" t="n"/>
      <c r="AI58" s="143" t="n"/>
      <c r="AJ58" s="141" t="n"/>
      <c r="AK58" s="143">
        <f>IF(AL58=1,ROUND(SUMIF($A$8:$A$114,A58,$D$8:$D$114)+SUMIF($A$8:$A$114,A58,$E$8:$E$114)-SUMIF($A$8:$A$114,A58,$W$8:$W$114),2),0)</f>
        <v/>
      </c>
      <c r="AL58" s="144" t="n"/>
    </row>
    <row r="59" ht="36" customHeight="1" s="100">
      <c r="A59" s="141" t="n"/>
      <c r="B59" s="142" t="n"/>
      <c r="C59" s="141" t="n"/>
      <c r="D59" s="143" t="n"/>
      <c r="E59" s="143" t="n"/>
      <c r="F59" s="141" t="n"/>
      <c r="G59" s="142" t="n"/>
      <c r="H59" s="141" t="n"/>
      <c r="I59" s="141" t="n"/>
      <c r="J59" s="143" t="n"/>
      <c r="K59" s="143" t="n"/>
      <c r="L59" s="143">
        <f>IF(OR(F59="",AL59=0),"",(D59+E59)-(J59+K59))</f>
        <v/>
      </c>
      <c r="M59" s="144">
        <f>IF(OR(F59="",AL59=0,B59=""),"",G59-B59)</f>
        <v/>
      </c>
      <c r="N59" s="141" t="n"/>
      <c r="O59" s="141" t="n"/>
      <c r="P59" s="141" t="n"/>
      <c r="Q59" s="142" t="n"/>
      <c r="R59" s="141" t="n"/>
      <c r="S59" s="141" t="n"/>
      <c r="T59" s="141" t="n"/>
      <c r="U59" s="141" t="n"/>
      <c r="V59" s="143" t="n"/>
      <c r="W59" s="143" t="n"/>
      <c r="X59" s="143">
        <f>IF(OR(V59="",V59=0),0,ROUND(W59/V59*AF59,2))</f>
        <v/>
      </c>
      <c r="Y59" s="143">
        <f>IF(OR(V59="",V59=0),0,ROUND(W59/V59*AG59,2))</f>
        <v/>
      </c>
      <c r="Z59" s="143">
        <f>IF(OR(V59="",V59=0),0,ROUND(W59/V59*AH59,2))</f>
        <v/>
      </c>
      <c r="AA59" s="143">
        <f>IF(OR(V59="",V59=0),0,ROUND(W59/V59*AI59,2))</f>
        <v/>
      </c>
      <c r="AB59" s="144" t="n"/>
      <c r="AC59" s="143">
        <f>ROUND(SUMIF($A$8:$A$114,A59,$D$8:$D$114)+SUMIF($A$8:$A$114,A59,$E$8:$E$114)-SUMIF($A$8:$A$114,A59,$W$8:$W$114),2)</f>
        <v/>
      </c>
      <c r="AD59" s="145">
        <f>IF(OR((SUMIF($A$8:$A$114,A59,$D$8:$D$114)+SUMIF($A$8:$A$114,A59,$E$8:$E$114))=0,COUNTIFS($A$8:$A$114,A59,$F$8:$F$114,"?*")=0,N59="Sin CFDI"),"No identificado",IF(OR(ABS(SUMIF($A$8:$A$114,A59,$L$8:$L$114))&gt;Reglas!$C$7,ABS(SUMIF($A$8:$A$114,A59,$M$8:$M$114))&gt;Reglas!$C$8,ABS(AC59)&gt;Reglas!$C$7,ABS(N(AB59))&gt;Reglas!$C$8),"Conciliado (revisar)",IF(OR(N59="Varios CFDI",N59="Parcial"),"Conciliado (validar)","Conciliado")))</f>
        <v/>
      </c>
      <c r="AE59" s="146" t="n"/>
      <c r="AF59" s="143" t="n"/>
      <c r="AG59" s="143" t="n"/>
      <c r="AH59" s="143" t="n"/>
      <c r="AI59" s="143" t="n"/>
      <c r="AJ59" s="141" t="n"/>
      <c r="AK59" s="143">
        <f>IF(AL59=1,ROUND(SUMIF($A$8:$A$114,A59,$D$8:$D$114)+SUMIF($A$8:$A$114,A59,$E$8:$E$114)-SUMIF($A$8:$A$114,A59,$W$8:$W$114),2),0)</f>
        <v/>
      </c>
      <c r="AL59" s="144" t="n"/>
    </row>
    <row r="60" ht="24" customHeight="1" s="100">
      <c r="A60" s="141" t="n"/>
      <c r="B60" s="142" t="n"/>
      <c r="C60" s="141" t="n"/>
      <c r="D60" s="143" t="n"/>
      <c r="E60" s="143" t="n"/>
      <c r="F60" s="141" t="n"/>
      <c r="G60" s="142" t="n"/>
      <c r="H60" s="141" t="n"/>
      <c r="I60" s="141" t="n"/>
      <c r="J60" s="143" t="n"/>
      <c r="K60" s="143" t="n"/>
      <c r="L60" s="143">
        <f>IF(OR(F60="",AL60=0),"",(D60+E60)-(J60+K60))</f>
        <v/>
      </c>
      <c r="M60" s="144">
        <f>IF(OR(F60="",AL60=0,B60=""),"",G60-B60)</f>
        <v/>
      </c>
      <c r="N60" s="141" t="n"/>
      <c r="O60" s="141" t="n"/>
      <c r="P60" s="141" t="n"/>
      <c r="Q60" s="142" t="n"/>
      <c r="R60" s="141" t="n"/>
      <c r="S60" s="141" t="n"/>
      <c r="T60" s="141" t="n"/>
      <c r="U60" s="141" t="n"/>
      <c r="V60" s="143" t="n"/>
      <c r="W60" s="143" t="n"/>
      <c r="X60" s="143">
        <f>IF(OR(V60="",V60=0),0,ROUND(W60/V60*AF60,2))</f>
        <v/>
      </c>
      <c r="Y60" s="143">
        <f>IF(OR(V60="",V60=0),0,ROUND(W60/V60*AG60,2))</f>
        <v/>
      </c>
      <c r="Z60" s="143">
        <f>IF(OR(V60="",V60=0),0,ROUND(W60/V60*AH60,2))</f>
        <v/>
      </c>
      <c r="AA60" s="143">
        <f>IF(OR(V60="",V60=0),0,ROUND(W60/V60*AI60,2))</f>
        <v/>
      </c>
      <c r="AB60" s="144" t="n"/>
      <c r="AC60" s="143">
        <f>ROUND(SUMIF($A$8:$A$114,A60,$D$8:$D$114)+SUMIF($A$8:$A$114,A60,$E$8:$E$114)-SUMIF($A$8:$A$114,A60,$W$8:$W$114),2)</f>
        <v/>
      </c>
      <c r="AD60" s="145">
        <f>IF(OR((SUMIF($A$8:$A$114,A60,$D$8:$D$114)+SUMIF($A$8:$A$114,A60,$E$8:$E$114))=0,COUNTIFS($A$8:$A$114,A60,$F$8:$F$114,"?*")=0,N60="Sin CFDI"),"No identificado",IF(OR(ABS(SUMIF($A$8:$A$114,A60,$L$8:$L$114))&gt;Reglas!$C$7,ABS(SUMIF($A$8:$A$114,A60,$M$8:$M$114))&gt;Reglas!$C$8,ABS(AC60)&gt;Reglas!$C$7,ABS(N(AB60))&gt;Reglas!$C$8),"Conciliado (revisar)",IF(OR(N60="Varios CFDI",N60="Parcial"),"Conciliado (validar)","Conciliado")))</f>
        <v/>
      </c>
      <c r="AE60" s="146" t="n"/>
      <c r="AF60" s="143" t="n"/>
      <c r="AG60" s="143" t="n"/>
      <c r="AH60" s="143" t="n"/>
      <c r="AI60" s="143" t="n"/>
      <c r="AJ60" s="141" t="n"/>
      <c r="AK60" s="143">
        <f>IF(AL60=1,ROUND(SUMIF($A$8:$A$114,A60,$D$8:$D$114)+SUMIF($A$8:$A$114,A60,$E$8:$E$114)-SUMIF($A$8:$A$114,A60,$W$8:$W$114),2),0)</f>
        <v/>
      </c>
      <c r="AL60" s="144" t="n"/>
    </row>
    <row r="61" ht="24" customHeight="1" s="100">
      <c r="A61" s="141" t="n"/>
      <c r="B61" s="142" t="n"/>
      <c r="C61" s="141" t="n"/>
      <c r="D61" s="143" t="n"/>
      <c r="E61" s="143" t="n"/>
      <c r="F61" s="141" t="n"/>
      <c r="G61" s="142" t="n"/>
      <c r="H61" s="141" t="n"/>
      <c r="I61" s="141" t="n"/>
      <c r="J61" s="143" t="n"/>
      <c r="K61" s="143" t="n"/>
      <c r="L61" s="143">
        <f>IF(OR(F61="",AL61=0),"",(D61+E61)-(J61+K61))</f>
        <v/>
      </c>
      <c r="M61" s="144">
        <f>IF(OR(F61="",AL61=0,B61=""),"",G61-B61)</f>
        <v/>
      </c>
      <c r="N61" s="141" t="n"/>
      <c r="O61" s="141" t="n"/>
      <c r="P61" s="141" t="n"/>
      <c r="Q61" s="142" t="n"/>
      <c r="R61" s="141" t="n"/>
      <c r="S61" s="141" t="n"/>
      <c r="T61" s="141" t="n"/>
      <c r="U61" s="141" t="n"/>
      <c r="V61" s="143" t="n"/>
      <c r="W61" s="143" t="n"/>
      <c r="X61" s="143">
        <f>IF(OR(V61="",V61=0),0,ROUND(W61/V61*AF61,2))</f>
        <v/>
      </c>
      <c r="Y61" s="143">
        <f>IF(OR(V61="",V61=0),0,ROUND(W61/V61*AG61,2))</f>
        <v/>
      </c>
      <c r="Z61" s="143">
        <f>IF(OR(V61="",V61=0),0,ROUND(W61/V61*AH61,2))</f>
        <v/>
      </c>
      <c r="AA61" s="143">
        <f>IF(OR(V61="",V61=0),0,ROUND(W61/V61*AI61,2))</f>
        <v/>
      </c>
      <c r="AB61" s="144" t="n"/>
      <c r="AC61" s="143">
        <f>ROUND(SUMIF($A$8:$A$114,A61,$D$8:$D$114)+SUMIF($A$8:$A$114,A61,$E$8:$E$114)-SUMIF($A$8:$A$114,A61,$W$8:$W$114),2)</f>
        <v/>
      </c>
      <c r="AD61" s="145">
        <f>IF(OR((SUMIF($A$8:$A$114,A61,$D$8:$D$114)+SUMIF($A$8:$A$114,A61,$E$8:$E$114))=0,COUNTIFS($A$8:$A$114,A61,$F$8:$F$114,"?*")=0,N61="Sin CFDI"),"No identificado",IF(OR(ABS(SUMIF($A$8:$A$114,A61,$L$8:$L$114))&gt;Reglas!$C$7,ABS(SUMIF($A$8:$A$114,A61,$M$8:$M$114))&gt;Reglas!$C$8,ABS(AC61)&gt;Reglas!$C$7,ABS(N(AB61))&gt;Reglas!$C$8),"Conciliado (revisar)",IF(OR(N61="Varios CFDI",N61="Parcial"),"Conciliado (validar)","Conciliado")))</f>
        <v/>
      </c>
      <c r="AE61" s="146" t="n"/>
      <c r="AF61" s="143" t="n"/>
      <c r="AG61" s="143" t="n"/>
      <c r="AH61" s="143" t="n"/>
      <c r="AI61" s="143" t="n"/>
      <c r="AJ61" s="141" t="n"/>
      <c r="AK61" s="143">
        <f>IF(AL61=1,ROUND(SUMIF($A$8:$A$114,A61,$D$8:$D$114)+SUMIF($A$8:$A$114,A61,$E$8:$E$114)-SUMIF($A$8:$A$114,A61,$W$8:$W$114),2),0)</f>
        <v/>
      </c>
      <c r="AL61" s="144" t="n"/>
    </row>
    <row r="62" ht="14.25" customHeight="1" s="100">
      <c r="A62" s="141" t="n"/>
      <c r="B62" s="142" t="n"/>
      <c r="C62" s="141" t="n"/>
      <c r="D62" s="143" t="n"/>
      <c r="E62" s="143" t="n"/>
      <c r="F62" s="141" t="n"/>
      <c r="G62" s="142" t="n"/>
      <c r="H62" s="141" t="n"/>
      <c r="I62" s="141" t="n"/>
      <c r="J62" s="143" t="n"/>
      <c r="K62" s="143" t="n"/>
      <c r="L62" s="143">
        <f>IF(OR(F62="",AL62=0),"",(D62+E62)-(J62+K62))</f>
        <v/>
      </c>
      <c r="M62" s="144">
        <f>IF(OR(F62="",AL62=0,B62=""),"",G62-B62)</f>
        <v/>
      </c>
      <c r="N62" s="141" t="n"/>
      <c r="O62" s="141" t="n"/>
      <c r="P62" s="141" t="n"/>
      <c r="Q62" s="142" t="n"/>
      <c r="R62" s="141" t="n"/>
      <c r="S62" s="141" t="n"/>
      <c r="T62" s="141" t="n"/>
      <c r="U62" s="141" t="n"/>
      <c r="V62" s="143" t="n"/>
      <c r="W62" s="143" t="n"/>
      <c r="X62" s="143">
        <f>IF(OR(V62="",V62=0),0,ROUND(W62/V62*AF62,2))</f>
        <v/>
      </c>
      <c r="Y62" s="143">
        <f>IF(OR(V62="",V62=0),0,ROUND(W62/V62*AG62,2))</f>
        <v/>
      </c>
      <c r="Z62" s="143">
        <f>IF(OR(V62="",V62=0),0,ROUND(W62/V62*AH62,2))</f>
        <v/>
      </c>
      <c r="AA62" s="143">
        <f>IF(OR(V62="",V62=0),0,ROUND(W62/V62*AI62,2))</f>
        <v/>
      </c>
      <c r="AB62" s="144" t="n"/>
      <c r="AC62" s="143">
        <f>ROUND(SUMIF($A$8:$A$114,A62,$D$8:$D$114)+SUMIF($A$8:$A$114,A62,$E$8:$E$114)-SUMIF($A$8:$A$114,A62,$W$8:$W$114),2)</f>
        <v/>
      </c>
      <c r="AD62" s="145">
        <f>IF(OR((SUMIF($A$8:$A$114,A62,$D$8:$D$114)+SUMIF($A$8:$A$114,A62,$E$8:$E$114))=0,COUNTIFS($A$8:$A$114,A62,$F$8:$F$114,"?*")=0,N62="Sin CFDI"),"No identificado",IF(OR(ABS(SUMIF($A$8:$A$114,A62,$L$8:$L$114))&gt;Reglas!$C$7,ABS(SUMIF($A$8:$A$114,A62,$M$8:$M$114))&gt;Reglas!$C$8,ABS(AC62)&gt;Reglas!$C$7,ABS(N(AB62))&gt;Reglas!$C$8),"Conciliado (revisar)",IF(OR(N62="Varios CFDI",N62="Parcial"),"Conciliado (validar)","Conciliado")))</f>
        <v/>
      </c>
      <c r="AE62" s="146" t="n"/>
      <c r="AF62" s="143" t="n"/>
      <c r="AG62" s="143" t="n"/>
      <c r="AH62" s="143" t="n"/>
      <c r="AI62" s="143" t="n"/>
      <c r="AJ62" s="141" t="n"/>
      <c r="AK62" s="143">
        <f>IF(AL62=1,ROUND(SUMIF($A$8:$A$114,A62,$D$8:$D$114)+SUMIF($A$8:$A$114,A62,$E$8:$E$114)-SUMIF($A$8:$A$114,A62,$W$8:$W$114),2),0)</f>
        <v/>
      </c>
      <c r="AL62" s="144" t="n"/>
    </row>
    <row r="63" ht="14.25" customHeight="1" s="100">
      <c r="A63" s="141" t="n"/>
      <c r="B63" s="142" t="n"/>
      <c r="C63" s="141" t="n"/>
      <c r="D63" s="143" t="n"/>
      <c r="E63" s="143" t="n"/>
      <c r="F63" s="141" t="n"/>
      <c r="G63" s="142" t="n"/>
      <c r="H63" s="141" t="n"/>
      <c r="I63" s="141" t="n"/>
      <c r="J63" s="143" t="n"/>
      <c r="K63" s="143" t="n"/>
      <c r="L63" s="143">
        <f>IF(OR(F63="",AL63=0),"",(D63+E63)-(J63+K63))</f>
        <v/>
      </c>
      <c r="M63" s="144">
        <f>IF(OR(F63="",AL63=0,B63=""),"",G63-B63)</f>
        <v/>
      </c>
      <c r="N63" s="141" t="n"/>
      <c r="O63" s="141" t="n"/>
      <c r="P63" s="141" t="n"/>
      <c r="Q63" s="142" t="n"/>
      <c r="R63" s="141" t="n"/>
      <c r="S63" s="141" t="n"/>
      <c r="T63" s="141" t="n"/>
      <c r="U63" s="141" t="n"/>
      <c r="V63" s="143" t="n"/>
      <c r="W63" s="143" t="n"/>
      <c r="X63" s="143">
        <f>IF(OR(V63="",V63=0),0,ROUND(W63/V63*AF63,2))</f>
        <v/>
      </c>
      <c r="Y63" s="143">
        <f>IF(OR(V63="",V63=0),0,ROUND(W63/V63*AG63,2))</f>
        <v/>
      </c>
      <c r="Z63" s="143">
        <f>IF(OR(V63="",V63=0),0,ROUND(W63/V63*AH63,2))</f>
        <v/>
      </c>
      <c r="AA63" s="143">
        <f>IF(OR(V63="",V63=0),0,ROUND(W63/V63*AI63,2))</f>
        <v/>
      </c>
      <c r="AB63" s="144" t="n"/>
      <c r="AC63" s="143">
        <f>ROUND(SUMIF($A$8:$A$114,A63,$D$8:$D$114)+SUMIF($A$8:$A$114,A63,$E$8:$E$114)-SUMIF($A$8:$A$114,A63,$W$8:$W$114),2)</f>
        <v/>
      </c>
      <c r="AD63" s="145">
        <f>IF(OR((SUMIF($A$8:$A$114,A63,$D$8:$D$114)+SUMIF($A$8:$A$114,A63,$E$8:$E$114))=0,COUNTIFS($A$8:$A$114,A63,$F$8:$F$114,"?*")=0,N63="Sin CFDI"),"No identificado",IF(OR(ABS(SUMIF($A$8:$A$114,A63,$L$8:$L$114))&gt;Reglas!$C$7,ABS(SUMIF($A$8:$A$114,A63,$M$8:$M$114))&gt;Reglas!$C$8,ABS(AC63)&gt;Reglas!$C$7,ABS(N(AB63))&gt;Reglas!$C$8),"Conciliado (revisar)",IF(OR(N63="Varios CFDI",N63="Parcial"),"Conciliado (validar)","Conciliado")))</f>
        <v/>
      </c>
      <c r="AE63" s="146" t="n"/>
      <c r="AF63" s="143" t="n"/>
      <c r="AG63" s="143" t="n"/>
      <c r="AH63" s="143" t="n"/>
      <c r="AI63" s="143" t="n"/>
      <c r="AJ63" s="141" t="n"/>
      <c r="AK63" s="143">
        <f>IF(AL63=1,ROUND(SUMIF($A$8:$A$114,A63,$D$8:$D$114)+SUMIF($A$8:$A$114,A63,$E$8:$E$114)-SUMIF($A$8:$A$114,A63,$W$8:$W$114),2),0)</f>
        <v/>
      </c>
      <c r="AL63" s="144" t="n"/>
    </row>
    <row r="64" ht="14.25" customHeight="1" s="100">
      <c r="A64" s="141" t="n"/>
      <c r="B64" s="142" t="n"/>
      <c r="C64" s="141" t="n"/>
      <c r="D64" s="143" t="n"/>
      <c r="E64" s="143" t="n"/>
      <c r="F64" s="141" t="n"/>
      <c r="G64" s="142" t="n"/>
      <c r="H64" s="141" t="n"/>
      <c r="I64" s="141" t="n"/>
      <c r="J64" s="143" t="n"/>
      <c r="K64" s="143" t="n"/>
      <c r="L64" s="143">
        <f>IF(OR(F64="",AL64=0),"",(D64+E64)-(J64+K64))</f>
        <v/>
      </c>
      <c r="M64" s="144">
        <f>IF(OR(F64="",AL64=0,B64=""),"",G64-B64)</f>
        <v/>
      </c>
      <c r="N64" s="141" t="n"/>
      <c r="O64" s="141" t="n"/>
      <c r="P64" s="141" t="n"/>
      <c r="Q64" s="142" t="n"/>
      <c r="R64" s="141" t="n"/>
      <c r="S64" s="141" t="n"/>
      <c r="T64" s="141" t="n"/>
      <c r="U64" s="141" t="n"/>
      <c r="V64" s="143" t="n"/>
      <c r="W64" s="143" t="n"/>
      <c r="X64" s="143">
        <f>IF(OR(V64="",V64=0),0,ROUND(W64/V64*AF64,2))</f>
        <v/>
      </c>
      <c r="Y64" s="143">
        <f>IF(OR(V64="",V64=0),0,ROUND(W64/V64*AG64,2))</f>
        <v/>
      </c>
      <c r="Z64" s="143">
        <f>IF(OR(V64="",V64=0),0,ROUND(W64/V64*AH64,2))</f>
        <v/>
      </c>
      <c r="AA64" s="143">
        <f>IF(OR(V64="",V64=0),0,ROUND(W64/V64*AI64,2))</f>
        <v/>
      </c>
      <c r="AB64" s="144" t="n"/>
      <c r="AC64" s="143">
        <f>ROUND(SUMIF($A$8:$A$114,A64,$D$8:$D$114)+SUMIF($A$8:$A$114,A64,$E$8:$E$114)-SUMIF($A$8:$A$114,A64,$W$8:$W$114),2)</f>
        <v/>
      </c>
      <c r="AD64" s="145">
        <f>IF(OR((SUMIF($A$8:$A$114,A64,$D$8:$D$114)+SUMIF($A$8:$A$114,A64,$E$8:$E$114))=0,COUNTIFS($A$8:$A$114,A64,$F$8:$F$114,"?*")=0,N64="Sin CFDI"),"No identificado",IF(OR(ABS(SUMIF($A$8:$A$114,A64,$L$8:$L$114))&gt;Reglas!$C$7,ABS(SUMIF($A$8:$A$114,A64,$M$8:$M$114))&gt;Reglas!$C$8,ABS(AC64)&gt;Reglas!$C$7,ABS(N(AB64))&gt;Reglas!$C$8),"Conciliado (revisar)",IF(OR(N64="Varios CFDI",N64="Parcial"),"Conciliado (validar)","Conciliado")))</f>
        <v/>
      </c>
      <c r="AE64" s="146" t="n"/>
      <c r="AF64" s="143" t="n"/>
      <c r="AG64" s="143" t="n"/>
      <c r="AH64" s="143" t="n"/>
      <c r="AI64" s="143" t="n"/>
      <c r="AJ64" s="141" t="n"/>
      <c r="AK64" s="143">
        <f>IF(AL64=1,ROUND(SUMIF($A$8:$A$114,A64,$D$8:$D$114)+SUMIF($A$8:$A$114,A64,$E$8:$E$114)-SUMIF($A$8:$A$114,A64,$W$8:$W$114),2),0)</f>
        <v/>
      </c>
      <c r="AL64" s="144" t="n"/>
    </row>
    <row r="65" ht="24" customHeight="1" s="100">
      <c r="A65" s="141" t="n"/>
      <c r="B65" s="142" t="n"/>
      <c r="C65" s="141" t="n"/>
      <c r="D65" s="143" t="n"/>
      <c r="E65" s="143" t="n"/>
      <c r="F65" s="141" t="n"/>
      <c r="G65" s="142" t="n"/>
      <c r="H65" s="141" t="n"/>
      <c r="I65" s="141" t="n"/>
      <c r="J65" s="143" t="n"/>
      <c r="K65" s="143" t="n"/>
      <c r="L65" s="143">
        <f>IF(OR(F65="",AL65=0),"",(D65+E65)-(J65+K65))</f>
        <v/>
      </c>
      <c r="M65" s="144">
        <f>IF(OR(F65="",AL65=0,B65=""),"",G65-B65)</f>
        <v/>
      </c>
      <c r="N65" s="141" t="n"/>
      <c r="O65" s="141" t="n"/>
      <c r="P65" s="141" t="n"/>
      <c r="Q65" s="142" t="n"/>
      <c r="R65" s="141" t="n"/>
      <c r="S65" s="141" t="n"/>
      <c r="T65" s="141" t="n"/>
      <c r="U65" s="141" t="n"/>
      <c r="V65" s="143" t="n"/>
      <c r="W65" s="143" t="n"/>
      <c r="X65" s="143">
        <f>IF(OR(V65="",V65=0),0,ROUND(W65/V65*AF65,2))</f>
        <v/>
      </c>
      <c r="Y65" s="143">
        <f>IF(OR(V65="",V65=0),0,ROUND(W65/V65*AG65,2))</f>
        <v/>
      </c>
      <c r="Z65" s="143">
        <f>IF(OR(V65="",V65=0),0,ROUND(W65/V65*AH65,2))</f>
        <v/>
      </c>
      <c r="AA65" s="143">
        <f>IF(OR(V65="",V65=0),0,ROUND(W65/V65*AI65,2))</f>
        <v/>
      </c>
      <c r="AB65" s="144" t="n"/>
      <c r="AC65" s="143">
        <f>ROUND(SUMIF($A$8:$A$114,A65,$D$8:$D$114)+SUMIF($A$8:$A$114,A65,$E$8:$E$114)-SUMIF($A$8:$A$114,A65,$W$8:$W$114),2)</f>
        <v/>
      </c>
      <c r="AD65" s="145">
        <f>IF(OR((SUMIF($A$8:$A$114,A65,$D$8:$D$114)+SUMIF($A$8:$A$114,A65,$E$8:$E$114))=0,COUNTIFS($A$8:$A$114,A65,$F$8:$F$114,"?*")=0,N65="Sin CFDI"),"No identificado",IF(OR(ABS(SUMIF($A$8:$A$114,A65,$L$8:$L$114))&gt;Reglas!$C$7,ABS(SUMIF($A$8:$A$114,A65,$M$8:$M$114))&gt;Reglas!$C$8,ABS(AC65)&gt;Reglas!$C$7,ABS(N(AB65))&gt;Reglas!$C$8),"Conciliado (revisar)",IF(OR(N65="Varios CFDI",N65="Parcial"),"Conciliado (validar)","Conciliado")))</f>
        <v/>
      </c>
      <c r="AE65" s="146" t="n"/>
      <c r="AF65" s="143" t="n"/>
      <c r="AG65" s="143" t="n"/>
      <c r="AH65" s="143" t="n"/>
      <c r="AI65" s="143" t="n"/>
      <c r="AJ65" s="141" t="n"/>
      <c r="AK65" s="143">
        <f>IF(AL65=1,ROUND(SUMIF($A$8:$A$114,A65,$D$8:$D$114)+SUMIF($A$8:$A$114,A65,$E$8:$E$114)-SUMIF($A$8:$A$114,A65,$W$8:$W$114),2),0)</f>
        <v/>
      </c>
      <c r="AL65" s="144" t="n"/>
    </row>
    <row r="66" ht="24" customHeight="1" s="100">
      <c r="A66" s="141" t="n"/>
      <c r="B66" s="142" t="n"/>
      <c r="C66" s="141" t="n"/>
      <c r="D66" s="143" t="n"/>
      <c r="E66" s="143" t="n"/>
      <c r="F66" s="141" t="n"/>
      <c r="G66" s="142" t="n"/>
      <c r="H66" s="141" t="n"/>
      <c r="I66" s="141" t="n"/>
      <c r="J66" s="143" t="n"/>
      <c r="K66" s="143" t="n"/>
      <c r="L66" s="143">
        <f>IF(OR(F66="",AL66=0),"",(D66+E66)-(J66+K66))</f>
        <v/>
      </c>
      <c r="M66" s="144">
        <f>IF(OR(F66="",AL66=0,B66=""),"",G66-B66)</f>
        <v/>
      </c>
      <c r="N66" s="141" t="n"/>
      <c r="O66" s="141" t="n"/>
      <c r="P66" s="141" t="n"/>
      <c r="Q66" s="142" t="n"/>
      <c r="R66" s="141" t="n"/>
      <c r="S66" s="141" t="n"/>
      <c r="T66" s="141" t="n"/>
      <c r="U66" s="141" t="n"/>
      <c r="V66" s="143" t="n"/>
      <c r="W66" s="143" t="n"/>
      <c r="X66" s="143">
        <f>IF(OR(V66="",V66=0),0,ROUND(W66/V66*AF66,2))</f>
        <v/>
      </c>
      <c r="Y66" s="143">
        <f>IF(OR(V66="",V66=0),0,ROUND(W66/V66*AG66,2))</f>
        <v/>
      </c>
      <c r="Z66" s="143">
        <f>IF(OR(V66="",V66=0),0,ROUND(W66/V66*AH66,2))</f>
        <v/>
      </c>
      <c r="AA66" s="143">
        <f>IF(OR(V66="",V66=0),0,ROUND(W66/V66*AI66,2))</f>
        <v/>
      </c>
      <c r="AB66" s="144" t="n"/>
      <c r="AC66" s="143">
        <f>ROUND(SUMIF($A$8:$A$114,A66,$D$8:$D$114)+SUMIF($A$8:$A$114,A66,$E$8:$E$114)-SUMIF($A$8:$A$114,A66,$W$8:$W$114),2)</f>
        <v/>
      </c>
      <c r="AD66" s="145">
        <f>IF(OR((SUMIF($A$8:$A$114,A66,$D$8:$D$114)+SUMIF($A$8:$A$114,A66,$E$8:$E$114))=0,COUNTIFS($A$8:$A$114,A66,$F$8:$F$114,"?*")=0,N66="Sin CFDI"),"No identificado",IF(OR(ABS(SUMIF($A$8:$A$114,A66,$L$8:$L$114))&gt;Reglas!$C$7,ABS(SUMIF($A$8:$A$114,A66,$M$8:$M$114))&gt;Reglas!$C$8,ABS(AC66)&gt;Reglas!$C$7,ABS(N(AB66))&gt;Reglas!$C$8),"Conciliado (revisar)",IF(OR(N66="Varios CFDI",N66="Parcial"),"Conciliado (validar)","Conciliado")))</f>
        <v/>
      </c>
      <c r="AE66" s="146" t="n"/>
      <c r="AF66" s="143" t="n"/>
      <c r="AG66" s="143" t="n"/>
      <c r="AH66" s="143" t="n"/>
      <c r="AI66" s="143" t="n"/>
      <c r="AJ66" s="141" t="n"/>
      <c r="AK66" s="143">
        <f>IF(AL66=1,ROUND(SUMIF($A$8:$A$114,A66,$D$8:$D$114)+SUMIF($A$8:$A$114,A66,$E$8:$E$114)-SUMIF($A$8:$A$114,A66,$W$8:$W$114),2),0)</f>
        <v/>
      </c>
      <c r="AL66" s="144" t="n"/>
    </row>
    <row r="67" ht="14.25" customHeight="1" s="100">
      <c r="A67" s="141" t="n"/>
      <c r="B67" s="142" t="n"/>
      <c r="C67" s="141" t="n"/>
      <c r="D67" s="143" t="n"/>
      <c r="E67" s="143" t="n"/>
      <c r="F67" s="141" t="n"/>
      <c r="G67" s="142" t="n"/>
      <c r="H67" s="141" t="n"/>
      <c r="I67" s="141" t="n"/>
      <c r="J67" s="143" t="n"/>
      <c r="K67" s="143" t="n"/>
      <c r="L67" s="143">
        <f>IF(OR(F67="",AL67=0),"",(D67+E67)-(J67+K67))</f>
        <v/>
      </c>
      <c r="M67" s="144">
        <f>IF(OR(F67="",AL67=0,B67=""),"",G67-B67)</f>
        <v/>
      </c>
      <c r="N67" s="141" t="n"/>
      <c r="O67" s="141" t="n"/>
      <c r="P67" s="141" t="n"/>
      <c r="Q67" s="142" t="n"/>
      <c r="R67" s="141" t="n"/>
      <c r="S67" s="141" t="n"/>
      <c r="T67" s="141" t="n"/>
      <c r="U67" s="141" t="n"/>
      <c r="V67" s="143" t="n"/>
      <c r="W67" s="143" t="n"/>
      <c r="X67" s="143">
        <f>IF(OR(V67="",V67=0),0,ROUND(W67/V67*AF67,2))</f>
        <v/>
      </c>
      <c r="Y67" s="143">
        <f>IF(OR(V67="",V67=0),0,ROUND(W67/V67*AG67,2))</f>
        <v/>
      </c>
      <c r="Z67" s="143">
        <f>IF(OR(V67="",V67=0),0,ROUND(W67/V67*AH67,2))</f>
        <v/>
      </c>
      <c r="AA67" s="143">
        <f>IF(OR(V67="",V67=0),0,ROUND(W67/V67*AI67,2))</f>
        <v/>
      </c>
      <c r="AB67" s="144" t="n"/>
      <c r="AC67" s="143">
        <f>ROUND(SUMIF($A$8:$A$114,A67,$D$8:$D$114)+SUMIF($A$8:$A$114,A67,$E$8:$E$114)-SUMIF($A$8:$A$114,A67,$W$8:$W$114),2)</f>
        <v/>
      </c>
      <c r="AD67" s="145">
        <f>IF(OR((SUMIF($A$8:$A$114,A67,$D$8:$D$114)+SUMIF($A$8:$A$114,A67,$E$8:$E$114))=0,COUNTIFS($A$8:$A$114,A67,$F$8:$F$114,"?*")=0,N67="Sin CFDI"),"No identificado",IF(OR(ABS(SUMIF($A$8:$A$114,A67,$L$8:$L$114))&gt;Reglas!$C$7,ABS(SUMIF($A$8:$A$114,A67,$M$8:$M$114))&gt;Reglas!$C$8,ABS(AC67)&gt;Reglas!$C$7,ABS(N(AB67))&gt;Reglas!$C$8),"Conciliado (revisar)",IF(OR(N67="Varios CFDI",N67="Parcial"),"Conciliado (validar)","Conciliado")))</f>
        <v/>
      </c>
      <c r="AE67" s="146" t="n"/>
      <c r="AF67" s="143" t="n"/>
      <c r="AG67" s="143" t="n"/>
      <c r="AH67" s="143" t="n"/>
      <c r="AI67" s="143" t="n"/>
      <c r="AJ67" s="141" t="n"/>
      <c r="AK67" s="143">
        <f>IF(AL67=1,ROUND(SUMIF($A$8:$A$114,A67,$D$8:$D$114)+SUMIF($A$8:$A$114,A67,$E$8:$E$114)-SUMIF($A$8:$A$114,A67,$W$8:$W$114),2),0)</f>
        <v/>
      </c>
      <c r="AL67" s="144" t="n"/>
    </row>
    <row r="68" ht="14.25" customHeight="1" s="100">
      <c r="A68" s="141" t="n"/>
      <c r="B68" s="142" t="n"/>
      <c r="C68" s="141" t="n"/>
      <c r="D68" s="143" t="n"/>
      <c r="E68" s="143" t="n"/>
      <c r="F68" s="141" t="n"/>
      <c r="G68" s="142" t="n"/>
      <c r="H68" s="141" t="n"/>
      <c r="I68" s="141" t="n"/>
      <c r="J68" s="143" t="n"/>
      <c r="K68" s="143" t="n"/>
      <c r="L68" s="143">
        <f>IF(OR(F68="",AL68=0),"",(D68+E68)-(J68+K68))</f>
        <v/>
      </c>
      <c r="M68" s="144">
        <f>IF(OR(F68="",AL68=0,B68=""),"",G68-B68)</f>
        <v/>
      </c>
      <c r="N68" s="141" t="n"/>
      <c r="O68" s="141" t="n"/>
      <c r="P68" s="141" t="n"/>
      <c r="Q68" s="142" t="n"/>
      <c r="R68" s="141" t="n"/>
      <c r="S68" s="141" t="n"/>
      <c r="T68" s="141" t="n"/>
      <c r="U68" s="141" t="n"/>
      <c r="V68" s="143" t="n"/>
      <c r="W68" s="143" t="n"/>
      <c r="X68" s="143">
        <f>IF(OR(V68="",V68=0),0,ROUND(W68/V68*AF68,2))</f>
        <v/>
      </c>
      <c r="Y68" s="143">
        <f>IF(OR(V68="",V68=0),0,ROUND(W68/V68*AG68,2))</f>
        <v/>
      </c>
      <c r="Z68" s="143">
        <f>IF(OR(V68="",V68=0),0,ROUND(W68/V68*AH68,2))</f>
        <v/>
      </c>
      <c r="AA68" s="143">
        <f>IF(OR(V68="",V68=0),0,ROUND(W68/V68*AI68,2))</f>
        <v/>
      </c>
      <c r="AB68" s="144" t="n"/>
      <c r="AC68" s="143">
        <f>ROUND(SUMIF($A$8:$A$114,A68,$D$8:$D$114)+SUMIF($A$8:$A$114,A68,$E$8:$E$114)-SUMIF($A$8:$A$114,A68,$W$8:$W$114),2)</f>
        <v/>
      </c>
      <c r="AD68" s="145">
        <f>IF(OR((SUMIF($A$8:$A$114,A68,$D$8:$D$114)+SUMIF($A$8:$A$114,A68,$E$8:$E$114))=0,COUNTIFS($A$8:$A$114,A68,$F$8:$F$114,"?*")=0,N68="Sin CFDI"),"No identificado",IF(OR(ABS(SUMIF($A$8:$A$114,A68,$L$8:$L$114))&gt;Reglas!$C$7,ABS(SUMIF($A$8:$A$114,A68,$M$8:$M$114))&gt;Reglas!$C$8,ABS(AC68)&gt;Reglas!$C$7,ABS(N(AB68))&gt;Reglas!$C$8),"Conciliado (revisar)",IF(OR(N68="Varios CFDI",N68="Parcial"),"Conciliado (validar)","Conciliado")))</f>
        <v/>
      </c>
      <c r="AE68" s="146" t="n"/>
      <c r="AF68" s="143" t="n"/>
      <c r="AG68" s="143" t="n"/>
      <c r="AH68" s="143" t="n"/>
      <c r="AI68" s="143" t="n"/>
      <c r="AJ68" s="141" t="n"/>
      <c r="AK68" s="143">
        <f>IF(AL68=1,ROUND(SUMIF($A$8:$A$114,A68,$D$8:$D$114)+SUMIF($A$8:$A$114,A68,$E$8:$E$114)-SUMIF($A$8:$A$114,A68,$W$8:$W$114),2),0)</f>
        <v/>
      </c>
      <c r="AL68" s="144" t="n"/>
    </row>
    <row r="69" ht="36" customHeight="1" s="100">
      <c r="A69" s="141" t="n"/>
      <c r="B69" s="142" t="n"/>
      <c r="C69" s="141" t="n"/>
      <c r="D69" s="143" t="n"/>
      <c r="E69" s="143" t="n"/>
      <c r="F69" s="141" t="n"/>
      <c r="G69" s="142" t="n"/>
      <c r="H69" s="141" t="n"/>
      <c r="I69" s="141" t="n"/>
      <c r="J69" s="143" t="n"/>
      <c r="K69" s="143" t="n"/>
      <c r="L69" s="143">
        <f>IF(OR(F69="",AL69=0),"",(D69+E69)-(J69+K69))</f>
        <v/>
      </c>
      <c r="M69" s="144">
        <f>IF(OR(F69="",AL69=0,B69=""),"",G69-B69)</f>
        <v/>
      </c>
      <c r="N69" s="141" t="n"/>
      <c r="O69" s="141" t="n"/>
      <c r="P69" s="141" t="n"/>
      <c r="Q69" s="142" t="n"/>
      <c r="R69" s="141" t="n"/>
      <c r="S69" s="141" t="n"/>
      <c r="T69" s="141" t="n"/>
      <c r="U69" s="141" t="n"/>
      <c r="V69" s="143" t="n"/>
      <c r="W69" s="143" t="n"/>
      <c r="X69" s="143">
        <f>IF(OR(V69="",V69=0),0,ROUND(W69/V69*AF69,2))</f>
        <v/>
      </c>
      <c r="Y69" s="143">
        <f>IF(OR(V69="",V69=0),0,ROUND(W69/V69*AG69,2))</f>
        <v/>
      </c>
      <c r="Z69" s="143">
        <f>IF(OR(V69="",V69=0),0,ROUND(W69/V69*AH69,2))</f>
        <v/>
      </c>
      <c r="AA69" s="143">
        <f>IF(OR(V69="",V69=0),0,ROUND(W69/V69*AI69,2))</f>
        <v/>
      </c>
      <c r="AB69" s="144" t="n"/>
      <c r="AC69" s="143">
        <f>ROUND(SUMIF($A$8:$A$114,A69,$D$8:$D$114)+SUMIF($A$8:$A$114,A69,$E$8:$E$114)-SUMIF($A$8:$A$114,A69,$W$8:$W$114),2)</f>
        <v/>
      </c>
      <c r="AD69" s="145">
        <f>IF(OR((SUMIF($A$8:$A$114,A69,$D$8:$D$114)+SUMIF($A$8:$A$114,A69,$E$8:$E$114))=0,COUNTIFS($A$8:$A$114,A69,$F$8:$F$114,"?*")=0,N69="Sin CFDI"),"No identificado",IF(OR(ABS(SUMIF($A$8:$A$114,A69,$L$8:$L$114))&gt;Reglas!$C$7,ABS(SUMIF($A$8:$A$114,A69,$M$8:$M$114))&gt;Reglas!$C$8,ABS(AC69)&gt;Reglas!$C$7,ABS(N(AB69))&gt;Reglas!$C$8),"Conciliado (revisar)",IF(OR(N69="Varios CFDI",N69="Parcial"),"Conciliado (validar)","Conciliado")))</f>
        <v/>
      </c>
      <c r="AE69" s="146" t="n"/>
      <c r="AF69" s="143" t="n"/>
      <c r="AG69" s="143" t="n"/>
      <c r="AH69" s="143" t="n"/>
      <c r="AI69" s="143" t="n"/>
      <c r="AJ69" s="141" t="n"/>
      <c r="AK69" s="143">
        <f>IF(AL69=1,ROUND(SUMIF($A$8:$A$114,A69,$D$8:$D$114)+SUMIF($A$8:$A$114,A69,$E$8:$E$114)-SUMIF($A$8:$A$114,A69,$W$8:$W$114),2),0)</f>
        <v/>
      </c>
      <c r="AL69" s="144" t="n"/>
    </row>
    <row r="70" ht="36" customHeight="1" s="100">
      <c r="A70" s="141" t="n"/>
      <c r="B70" s="142" t="n"/>
      <c r="C70" s="141" t="n"/>
      <c r="D70" s="143" t="n"/>
      <c r="E70" s="143" t="n"/>
      <c r="F70" s="141" t="n"/>
      <c r="G70" s="142" t="n"/>
      <c r="H70" s="141" t="n"/>
      <c r="I70" s="141" t="n"/>
      <c r="J70" s="143" t="n"/>
      <c r="K70" s="143" t="n"/>
      <c r="L70" s="143">
        <f>IF(OR(F70="",AL70=0),"",(D70+E70)-(J70+K70))</f>
        <v/>
      </c>
      <c r="M70" s="144">
        <f>IF(OR(F70="",AL70=0,B70=""),"",G70-B70)</f>
        <v/>
      </c>
      <c r="N70" s="141" t="n"/>
      <c r="O70" s="141" t="n"/>
      <c r="P70" s="141" t="n"/>
      <c r="Q70" s="142" t="n"/>
      <c r="R70" s="141" t="n"/>
      <c r="S70" s="141" t="n"/>
      <c r="T70" s="141" t="n"/>
      <c r="U70" s="141" t="n"/>
      <c r="V70" s="143" t="n"/>
      <c r="W70" s="143" t="n"/>
      <c r="X70" s="143">
        <f>IF(OR(V70="",V70=0),0,ROUND(W70/V70*AF70,2))</f>
        <v/>
      </c>
      <c r="Y70" s="143">
        <f>IF(OR(V70="",V70=0),0,ROUND(W70/V70*AG70,2))</f>
        <v/>
      </c>
      <c r="Z70" s="143">
        <f>IF(OR(V70="",V70=0),0,ROUND(W70/V70*AH70,2))</f>
        <v/>
      </c>
      <c r="AA70" s="143">
        <f>IF(OR(V70="",V70=0),0,ROUND(W70/V70*AI70,2))</f>
        <v/>
      </c>
      <c r="AB70" s="144" t="n"/>
      <c r="AC70" s="143">
        <f>ROUND(SUMIF($A$8:$A$114,A70,$D$8:$D$114)+SUMIF($A$8:$A$114,A70,$E$8:$E$114)-SUMIF($A$8:$A$114,A70,$W$8:$W$114),2)</f>
        <v/>
      </c>
      <c r="AD70" s="145">
        <f>IF(OR((SUMIF($A$8:$A$114,A70,$D$8:$D$114)+SUMIF($A$8:$A$114,A70,$E$8:$E$114))=0,COUNTIFS($A$8:$A$114,A70,$F$8:$F$114,"?*")=0,N70="Sin CFDI"),"No identificado",IF(OR(ABS(SUMIF($A$8:$A$114,A70,$L$8:$L$114))&gt;Reglas!$C$7,ABS(SUMIF($A$8:$A$114,A70,$M$8:$M$114))&gt;Reglas!$C$8,ABS(AC70)&gt;Reglas!$C$7,ABS(N(AB70))&gt;Reglas!$C$8),"Conciliado (revisar)",IF(OR(N70="Varios CFDI",N70="Parcial"),"Conciliado (validar)","Conciliado")))</f>
        <v/>
      </c>
      <c r="AE70" s="146" t="n"/>
      <c r="AF70" s="143" t="n"/>
      <c r="AG70" s="143" t="n"/>
      <c r="AH70" s="143" t="n"/>
      <c r="AI70" s="143" t="n"/>
      <c r="AJ70" s="141" t="n"/>
      <c r="AK70" s="143">
        <f>IF(AL70=1,ROUND(SUMIF($A$8:$A$114,A70,$D$8:$D$114)+SUMIF($A$8:$A$114,A70,$E$8:$E$114)-SUMIF($A$8:$A$114,A70,$W$8:$W$114),2),0)</f>
        <v/>
      </c>
      <c r="AL70" s="144" t="n"/>
    </row>
    <row r="71" ht="22.5" customHeight="1" s="100">
      <c r="A71" s="141" t="n"/>
      <c r="B71" s="142" t="n"/>
      <c r="C71" s="141" t="n"/>
      <c r="D71" s="143" t="n"/>
      <c r="E71" s="143" t="n"/>
      <c r="F71" s="141" t="n"/>
      <c r="G71" s="142" t="n"/>
      <c r="H71" s="141" t="n"/>
      <c r="I71" s="141" t="n"/>
      <c r="J71" s="143" t="n"/>
      <c r="K71" s="143" t="n"/>
      <c r="L71" s="143">
        <f>IF(OR(F71="",AL71=0),"",(D71+E71)-(J71+K71))</f>
        <v/>
      </c>
      <c r="M71" s="144">
        <f>IF(OR(F71="",AL71=0,B71=""),"",G71-B71)</f>
        <v/>
      </c>
      <c r="N71" s="141" t="n"/>
      <c r="O71" s="141" t="n"/>
      <c r="P71" s="141" t="n"/>
      <c r="Q71" s="142" t="n"/>
      <c r="R71" s="141" t="n"/>
      <c r="S71" s="141" t="n"/>
      <c r="T71" s="141" t="n"/>
      <c r="U71" s="141" t="n"/>
      <c r="V71" s="143" t="n"/>
      <c r="W71" s="143" t="n"/>
      <c r="X71" s="143">
        <f>IF(OR(V71="",V71=0),0,ROUND(W71/V71*AF71,2))</f>
        <v/>
      </c>
      <c r="Y71" s="143">
        <f>IF(OR(V71="",V71=0),0,ROUND(W71/V71*AG71,2))</f>
        <v/>
      </c>
      <c r="Z71" s="143">
        <f>IF(OR(V71="",V71=0),0,ROUND(W71/V71*AH71,2))</f>
        <v/>
      </c>
      <c r="AA71" s="143">
        <f>IF(OR(V71="",V71=0),0,ROUND(W71/V71*AI71,2))</f>
        <v/>
      </c>
      <c r="AB71" s="144" t="n"/>
      <c r="AC71" s="143">
        <f>ROUND(SUMIF($A$8:$A$114,A71,$D$8:$D$114)+SUMIF($A$8:$A$114,A71,$E$8:$E$114)-SUMIF($A$8:$A$114,A71,$W$8:$W$114),2)</f>
        <v/>
      </c>
      <c r="AD71" s="145">
        <f>IF(OR((SUMIF($A$8:$A$114,A71,$D$8:$D$114)+SUMIF($A$8:$A$114,A71,$E$8:$E$114))=0,COUNTIFS($A$8:$A$114,A71,$F$8:$F$114,"?*")=0,N71="Sin CFDI"),"No identificado",IF(OR(ABS(SUMIF($A$8:$A$114,A71,$L$8:$L$114))&gt;Reglas!$C$7,ABS(SUMIF($A$8:$A$114,A71,$M$8:$M$114))&gt;Reglas!$C$8,ABS(AC71)&gt;Reglas!$C$7,ABS(N(AB71))&gt;Reglas!$C$8),"Conciliado (revisar)",IF(OR(N71="Varios CFDI",N71="Parcial"),"Conciliado (validar)","Conciliado")))</f>
        <v/>
      </c>
      <c r="AE71" s="146" t="n"/>
      <c r="AF71" s="143" t="n"/>
      <c r="AG71" s="143" t="n"/>
      <c r="AH71" s="143" t="n"/>
      <c r="AI71" s="143" t="n"/>
      <c r="AJ71" s="141" t="n"/>
      <c r="AK71" s="143">
        <f>IF(AL71=1,ROUND(SUMIF($A$8:$A$114,A71,$D$8:$D$114)+SUMIF($A$8:$A$114,A71,$E$8:$E$114)-SUMIF($A$8:$A$114,A71,$W$8:$W$114),2),0)</f>
        <v/>
      </c>
      <c r="AL71" s="144" t="n"/>
    </row>
    <row r="72" ht="22.5" customHeight="1" s="100">
      <c r="A72" s="141" t="n"/>
      <c r="B72" s="142" t="n"/>
      <c r="C72" s="141" t="n"/>
      <c r="D72" s="143" t="n"/>
      <c r="E72" s="143" t="n"/>
      <c r="F72" s="141" t="n"/>
      <c r="G72" s="142" t="n"/>
      <c r="H72" s="141" t="n"/>
      <c r="I72" s="141" t="n"/>
      <c r="J72" s="143" t="n"/>
      <c r="K72" s="143" t="n"/>
      <c r="L72" s="143">
        <f>IF(OR(F72="",AL72=0),"",(D72+E72)-(J72+K72))</f>
        <v/>
      </c>
      <c r="M72" s="144">
        <f>IF(OR(F72="",AL72=0,B72=""),"",G72-B72)</f>
        <v/>
      </c>
      <c r="N72" s="141" t="n"/>
      <c r="O72" s="141" t="n"/>
      <c r="P72" s="141" t="n"/>
      <c r="Q72" s="142" t="n"/>
      <c r="R72" s="141" t="n"/>
      <c r="S72" s="141" t="n"/>
      <c r="T72" s="141" t="n"/>
      <c r="U72" s="141" t="n"/>
      <c r="V72" s="143" t="n"/>
      <c r="W72" s="143" t="n"/>
      <c r="X72" s="143">
        <f>IF(OR(V72="",V72=0),0,ROUND(W72/V72*AF72,2))</f>
        <v/>
      </c>
      <c r="Y72" s="143">
        <f>IF(OR(V72="",V72=0),0,ROUND(W72/V72*AG72,2))</f>
        <v/>
      </c>
      <c r="Z72" s="143">
        <f>IF(OR(V72="",V72=0),0,ROUND(W72/V72*AH72,2))</f>
        <v/>
      </c>
      <c r="AA72" s="143">
        <f>IF(OR(V72="",V72=0),0,ROUND(W72/V72*AI72,2))</f>
        <v/>
      </c>
      <c r="AB72" s="144" t="n"/>
      <c r="AC72" s="143">
        <f>ROUND(SUMIF($A$8:$A$114,A72,$D$8:$D$114)+SUMIF($A$8:$A$114,A72,$E$8:$E$114)-SUMIF($A$8:$A$114,A72,$W$8:$W$114),2)</f>
        <v/>
      </c>
      <c r="AD72" s="145">
        <f>IF(OR((SUMIF($A$8:$A$114,A72,$D$8:$D$114)+SUMIF($A$8:$A$114,A72,$E$8:$E$114))=0,COUNTIFS($A$8:$A$114,A72,$F$8:$F$114,"?*")=0,N72="Sin CFDI"),"No identificado",IF(OR(ABS(SUMIF($A$8:$A$114,A72,$L$8:$L$114))&gt;Reglas!$C$7,ABS(SUMIF($A$8:$A$114,A72,$M$8:$M$114))&gt;Reglas!$C$8,ABS(AC72)&gt;Reglas!$C$7,ABS(N(AB72))&gt;Reglas!$C$8),"Conciliado (revisar)",IF(OR(N72="Varios CFDI",N72="Parcial"),"Conciliado (validar)","Conciliado")))</f>
        <v/>
      </c>
      <c r="AE72" s="146" t="n"/>
      <c r="AF72" s="143" t="n"/>
      <c r="AG72" s="143" t="n"/>
      <c r="AH72" s="143" t="n"/>
      <c r="AI72" s="143" t="n"/>
      <c r="AJ72" s="141" t="n"/>
      <c r="AK72" s="143">
        <f>IF(AL72=1,ROUND(SUMIF($A$8:$A$114,A72,$D$8:$D$114)+SUMIF($A$8:$A$114,A72,$E$8:$E$114)-SUMIF($A$8:$A$114,A72,$W$8:$W$114),2),0)</f>
        <v/>
      </c>
      <c r="AL72" s="144" t="n"/>
    </row>
    <row r="73" ht="22.5" customHeight="1" s="100">
      <c r="A73" s="141" t="n"/>
      <c r="B73" s="142" t="n"/>
      <c r="C73" s="141" t="n"/>
      <c r="D73" s="143" t="n"/>
      <c r="E73" s="143" t="n"/>
      <c r="F73" s="141" t="n"/>
      <c r="G73" s="142" t="n"/>
      <c r="H73" s="141" t="n"/>
      <c r="I73" s="141" t="n"/>
      <c r="J73" s="143" t="n"/>
      <c r="K73" s="143" t="n"/>
      <c r="L73" s="143">
        <f>IF(OR(F73="",AL73=0),"",(D73+E73)-(J73+K73))</f>
        <v/>
      </c>
      <c r="M73" s="144">
        <f>IF(OR(F73="",AL73=0,B73=""),"",G73-B73)</f>
        <v/>
      </c>
      <c r="N73" s="141" t="n"/>
      <c r="O73" s="141" t="n"/>
      <c r="P73" s="141" t="n"/>
      <c r="Q73" s="142" t="n"/>
      <c r="R73" s="141" t="n"/>
      <c r="S73" s="141" t="n"/>
      <c r="T73" s="141" t="n"/>
      <c r="U73" s="141" t="n"/>
      <c r="V73" s="143" t="n"/>
      <c r="W73" s="143" t="n"/>
      <c r="X73" s="143">
        <f>IF(OR(V73="",V73=0),0,ROUND(W73/V73*AF73,2))</f>
        <v/>
      </c>
      <c r="Y73" s="143">
        <f>IF(OR(V73="",V73=0),0,ROUND(W73/V73*AG73,2))</f>
        <v/>
      </c>
      <c r="Z73" s="143">
        <f>IF(OR(V73="",V73=0),0,ROUND(W73/V73*AH73,2))</f>
        <v/>
      </c>
      <c r="AA73" s="143">
        <f>IF(OR(V73="",V73=0),0,ROUND(W73/V73*AI73,2))</f>
        <v/>
      </c>
      <c r="AB73" s="144" t="n"/>
      <c r="AC73" s="143">
        <f>ROUND(SUMIF($A$8:$A$114,A73,$D$8:$D$114)+SUMIF($A$8:$A$114,A73,$E$8:$E$114)-SUMIF($A$8:$A$114,A73,$W$8:$W$114),2)</f>
        <v/>
      </c>
      <c r="AD73" s="145">
        <f>IF(OR((SUMIF($A$8:$A$114,A73,$D$8:$D$114)+SUMIF($A$8:$A$114,A73,$E$8:$E$114))=0,COUNTIFS($A$8:$A$114,A73,$F$8:$F$114,"?*")=0,N73="Sin CFDI"),"No identificado",IF(OR(ABS(SUMIF($A$8:$A$114,A73,$L$8:$L$114))&gt;Reglas!$C$7,ABS(SUMIF($A$8:$A$114,A73,$M$8:$M$114))&gt;Reglas!$C$8,ABS(AC73)&gt;Reglas!$C$7,ABS(N(AB73))&gt;Reglas!$C$8),"Conciliado (revisar)",IF(OR(N73="Varios CFDI",N73="Parcial"),"Conciliado (validar)","Conciliado")))</f>
        <v/>
      </c>
      <c r="AE73" s="146" t="n"/>
      <c r="AF73" s="143" t="n"/>
      <c r="AG73" s="143" t="n"/>
      <c r="AH73" s="143" t="n"/>
      <c r="AI73" s="143" t="n"/>
      <c r="AJ73" s="141" t="n"/>
      <c r="AK73" s="143">
        <f>IF(AL73=1,ROUND(SUMIF($A$8:$A$114,A73,$D$8:$D$114)+SUMIF($A$8:$A$114,A73,$E$8:$E$114)-SUMIF($A$8:$A$114,A73,$W$8:$W$114),2),0)</f>
        <v/>
      </c>
      <c r="AL73" s="144" t="n"/>
    </row>
    <row r="74" ht="14.25" customHeight="1" s="100">
      <c r="A74" s="141" t="n"/>
      <c r="B74" s="142" t="n"/>
      <c r="C74" s="141" t="n"/>
      <c r="D74" s="143" t="n"/>
      <c r="E74" s="143" t="n"/>
      <c r="F74" s="141" t="n"/>
      <c r="G74" s="142" t="n"/>
      <c r="H74" s="141" t="n"/>
      <c r="I74" s="141" t="n"/>
      <c r="J74" s="143" t="n"/>
      <c r="K74" s="143" t="n"/>
      <c r="L74" s="143">
        <f>IF(OR(F74="",AL74=0),"",(D74+E74)-(J74+K74))</f>
        <v/>
      </c>
      <c r="M74" s="144">
        <f>IF(OR(F74="",AL74=0,B74=""),"",G74-B74)</f>
        <v/>
      </c>
      <c r="N74" s="141" t="n"/>
      <c r="O74" s="141" t="n"/>
      <c r="P74" s="141" t="n"/>
      <c r="Q74" s="142" t="n"/>
      <c r="R74" s="141" t="n"/>
      <c r="S74" s="141" t="n"/>
      <c r="T74" s="141" t="n"/>
      <c r="U74" s="141" t="n"/>
      <c r="V74" s="143" t="n"/>
      <c r="W74" s="143" t="n"/>
      <c r="X74" s="143">
        <f>IF(OR(V74="",V74=0),0,ROUND(W74/V74*AF74,2))</f>
        <v/>
      </c>
      <c r="Y74" s="143">
        <f>IF(OR(V74="",V74=0),0,ROUND(W74/V74*AG74,2))</f>
        <v/>
      </c>
      <c r="Z74" s="143">
        <f>IF(OR(V74="",V74=0),0,ROUND(W74/V74*AH74,2))</f>
        <v/>
      </c>
      <c r="AA74" s="143">
        <f>IF(OR(V74="",V74=0),0,ROUND(W74/V74*AI74,2))</f>
        <v/>
      </c>
      <c r="AB74" s="144" t="n"/>
      <c r="AC74" s="143">
        <f>ROUND(SUMIF($A$8:$A$114,A74,$D$8:$D$114)+SUMIF($A$8:$A$114,A74,$E$8:$E$114)-SUMIF($A$8:$A$114,A74,$W$8:$W$114),2)</f>
        <v/>
      </c>
      <c r="AD74" s="145">
        <f>IF(OR((SUMIF($A$8:$A$114,A74,$D$8:$D$114)+SUMIF($A$8:$A$114,A74,$E$8:$E$114))=0,COUNTIFS($A$8:$A$114,A74,$F$8:$F$114,"?*")=0,N74="Sin CFDI"),"No identificado",IF(OR(ABS(SUMIF($A$8:$A$114,A74,$L$8:$L$114))&gt;Reglas!$C$7,ABS(SUMIF($A$8:$A$114,A74,$M$8:$M$114))&gt;Reglas!$C$8,ABS(AC74)&gt;Reglas!$C$7,ABS(N(AB74))&gt;Reglas!$C$8),"Conciliado (revisar)",IF(OR(N74="Varios CFDI",N74="Parcial"),"Conciliado (validar)","Conciliado")))</f>
        <v/>
      </c>
      <c r="AE74" s="146" t="n"/>
      <c r="AF74" s="143" t="n"/>
      <c r="AG74" s="143" t="n"/>
      <c r="AH74" s="143" t="n"/>
      <c r="AI74" s="143" t="n"/>
      <c r="AJ74" s="141" t="n"/>
      <c r="AK74" s="143">
        <f>IF(AL74=1,ROUND(SUMIF($A$8:$A$114,A74,$D$8:$D$114)+SUMIF($A$8:$A$114,A74,$E$8:$E$114)-SUMIF($A$8:$A$114,A74,$W$8:$W$114),2),0)</f>
        <v/>
      </c>
      <c r="AL74" s="144" t="n"/>
    </row>
    <row r="75" ht="14.25" customHeight="1" s="100">
      <c r="A75" s="141" t="n"/>
      <c r="B75" s="142" t="n"/>
      <c r="C75" s="141" t="n"/>
      <c r="D75" s="143" t="n"/>
      <c r="E75" s="143" t="n"/>
      <c r="F75" s="141" t="n"/>
      <c r="G75" s="142" t="n"/>
      <c r="H75" s="141" t="n"/>
      <c r="I75" s="141" t="n"/>
      <c r="J75" s="143" t="n"/>
      <c r="K75" s="143" t="n"/>
      <c r="L75" s="143">
        <f>IF(OR(F75="",AL75=0),"",(D75+E75)-(J75+K75))</f>
        <v/>
      </c>
      <c r="M75" s="144">
        <f>IF(OR(F75="",AL75=0,B75=""),"",G75-B75)</f>
        <v/>
      </c>
      <c r="N75" s="141" t="n"/>
      <c r="O75" s="141" t="n"/>
      <c r="P75" s="141" t="n"/>
      <c r="Q75" s="142" t="n"/>
      <c r="R75" s="141" t="n"/>
      <c r="S75" s="141" t="n"/>
      <c r="T75" s="141" t="n"/>
      <c r="U75" s="141" t="n"/>
      <c r="V75" s="143" t="n"/>
      <c r="W75" s="143" t="n"/>
      <c r="X75" s="143">
        <f>IF(OR(V75="",V75=0),0,ROUND(W75/V75*AF75,2))</f>
        <v/>
      </c>
      <c r="Y75" s="143">
        <f>IF(OR(V75="",V75=0),0,ROUND(W75/V75*AG75,2))</f>
        <v/>
      </c>
      <c r="Z75" s="143">
        <f>IF(OR(V75="",V75=0),0,ROUND(W75/V75*AH75,2))</f>
        <v/>
      </c>
      <c r="AA75" s="143">
        <f>IF(OR(V75="",V75=0),0,ROUND(W75/V75*AI75,2))</f>
        <v/>
      </c>
      <c r="AB75" s="144" t="n"/>
      <c r="AC75" s="143">
        <f>ROUND(SUMIF($A$8:$A$114,A75,$D$8:$D$114)+SUMIF($A$8:$A$114,A75,$E$8:$E$114)-SUMIF($A$8:$A$114,A75,$W$8:$W$114),2)</f>
        <v/>
      </c>
      <c r="AD75" s="145">
        <f>IF(OR((SUMIF($A$8:$A$114,A75,$D$8:$D$114)+SUMIF($A$8:$A$114,A75,$E$8:$E$114))=0,COUNTIFS($A$8:$A$114,A75,$F$8:$F$114,"?*")=0,N75="Sin CFDI"),"No identificado",IF(OR(ABS(SUMIF($A$8:$A$114,A75,$L$8:$L$114))&gt;Reglas!$C$7,ABS(SUMIF($A$8:$A$114,A75,$M$8:$M$114))&gt;Reglas!$C$8,ABS(AC75)&gt;Reglas!$C$7,ABS(N(AB75))&gt;Reglas!$C$8),"Conciliado (revisar)",IF(OR(N75="Varios CFDI",N75="Parcial"),"Conciliado (validar)","Conciliado")))</f>
        <v/>
      </c>
      <c r="AE75" s="146" t="n"/>
      <c r="AF75" s="143" t="n"/>
      <c r="AG75" s="143" t="n"/>
      <c r="AH75" s="143" t="n"/>
      <c r="AI75" s="143" t="n"/>
      <c r="AJ75" s="141" t="n"/>
      <c r="AK75" s="143">
        <f>IF(AL75=1,ROUND(SUMIF($A$8:$A$114,A75,$D$8:$D$114)+SUMIF($A$8:$A$114,A75,$E$8:$E$114)-SUMIF($A$8:$A$114,A75,$W$8:$W$114),2),0)</f>
        <v/>
      </c>
      <c r="AL75" s="144" t="n"/>
    </row>
    <row r="76" ht="14.25" customHeight="1" s="100">
      <c r="A76" s="141" t="n"/>
      <c r="B76" s="142" t="n"/>
      <c r="C76" s="141" t="n"/>
      <c r="D76" s="143" t="n"/>
      <c r="E76" s="143" t="n"/>
      <c r="F76" s="141" t="n"/>
      <c r="G76" s="142" t="n"/>
      <c r="H76" s="141" t="n"/>
      <c r="I76" s="141" t="n"/>
      <c r="J76" s="143" t="n"/>
      <c r="K76" s="143" t="n"/>
      <c r="L76" s="143">
        <f>IF(OR(F76="",AL76=0),"",(D76+E76)-(J76+K76))</f>
        <v/>
      </c>
      <c r="M76" s="144">
        <f>IF(OR(F76="",AL76=0,B76=""),"",G76-B76)</f>
        <v/>
      </c>
      <c r="N76" s="141" t="n"/>
      <c r="O76" s="141" t="n"/>
      <c r="P76" s="141" t="n"/>
      <c r="Q76" s="142" t="n"/>
      <c r="R76" s="141" t="n"/>
      <c r="S76" s="141" t="n"/>
      <c r="T76" s="141" t="n"/>
      <c r="U76" s="141" t="n"/>
      <c r="V76" s="143" t="n"/>
      <c r="W76" s="143" t="n"/>
      <c r="X76" s="143">
        <f>IF(OR(V76="",V76=0),0,ROUND(W76/V76*AF76,2))</f>
        <v/>
      </c>
      <c r="Y76" s="143">
        <f>IF(OR(V76="",V76=0),0,ROUND(W76/V76*AG76,2))</f>
        <v/>
      </c>
      <c r="Z76" s="143">
        <f>IF(OR(V76="",V76=0),0,ROUND(W76/V76*AH76,2))</f>
        <v/>
      </c>
      <c r="AA76" s="143">
        <f>IF(OR(V76="",V76=0),0,ROUND(W76/V76*AI76,2))</f>
        <v/>
      </c>
      <c r="AB76" s="144" t="n"/>
      <c r="AC76" s="143">
        <f>ROUND(SUMIF($A$8:$A$114,A76,$D$8:$D$114)+SUMIF($A$8:$A$114,A76,$E$8:$E$114)-SUMIF($A$8:$A$114,A76,$W$8:$W$114),2)</f>
        <v/>
      </c>
      <c r="AD76" s="145">
        <f>IF(OR((SUMIF($A$8:$A$114,A76,$D$8:$D$114)+SUMIF($A$8:$A$114,A76,$E$8:$E$114))=0,COUNTIFS($A$8:$A$114,A76,$F$8:$F$114,"?*")=0,N76="Sin CFDI"),"No identificado",IF(OR(ABS(SUMIF($A$8:$A$114,A76,$L$8:$L$114))&gt;Reglas!$C$7,ABS(SUMIF($A$8:$A$114,A76,$M$8:$M$114))&gt;Reglas!$C$8,ABS(AC76)&gt;Reglas!$C$7,ABS(N(AB76))&gt;Reglas!$C$8),"Conciliado (revisar)",IF(OR(N76="Varios CFDI",N76="Parcial"),"Conciliado (validar)","Conciliado")))</f>
        <v/>
      </c>
      <c r="AE76" s="146" t="n"/>
      <c r="AF76" s="143" t="n"/>
      <c r="AG76" s="143" t="n"/>
      <c r="AH76" s="143" t="n"/>
      <c r="AI76" s="143" t="n"/>
      <c r="AJ76" s="141" t="n"/>
      <c r="AK76" s="143">
        <f>IF(AL76=1,ROUND(SUMIF($A$8:$A$114,A76,$D$8:$D$114)+SUMIF($A$8:$A$114,A76,$E$8:$E$114)-SUMIF($A$8:$A$114,A76,$W$8:$W$114),2),0)</f>
        <v/>
      </c>
      <c r="AL76" s="144" t="n"/>
    </row>
    <row r="77" ht="14.25" customHeight="1" s="100">
      <c r="A77" s="141" t="n"/>
      <c r="B77" s="142" t="n"/>
      <c r="C77" s="141" t="n"/>
      <c r="D77" s="143" t="n"/>
      <c r="E77" s="143" t="n"/>
      <c r="F77" s="141" t="n"/>
      <c r="G77" s="142" t="n"/>
      <c r="H77" s="141" t="n"/>
      <c r="I77" s="141" t="n"/>
      <c r="J77" s="143" t="n"/>
      <c r="K77" s="143" t="n"/>
      <c r="L77" s="143">
        <f>IF(OR(F77="",AL77=0),"",(D77+E77)-(J77+K77))</f>
        <v/>
      </c>
      <c r="M77" s="144">
        <f>IF(OR(F77="",AL77=0,B77=""),"",G77-B77)</f>
        <v/>
      </c>
      <c r="N77" s="141" t="n"/>
      <c r="O77" s="141" t="n"/>
      <c r="P77" s="141" t="n"/>
      <c r="Q77" s="142" t="n"/>
      <c r="R77" s="141" t="n"/>
      <c r="S77" s="141" t="n"/>
      <c r="T77" s="141" t="n"/>
      <c r="U77" s="141" t="n"/>
      <c r="V77" s="143" t="n"/>
      <c r="W77" s="143" t="n"/>
      <c r="X77" s="143">
        <f>IF(OR(V77="",V77=0),0,ROUND(W77/V77*AF77,2))</f>
        <v/>
      </c>
      <c r="Y77" s="143">
        <f>IF(OR(V77="",V77=0),0,ROUND(W77/V77*AG77,2))</f>
        <v/>
      </c>
      <c r="Z77" s="143">
        <f>IF(OR(V77="",V77=0),0,ROUND(W77/V77*AH77,2))</f>
        <v/>
      </c>
      <c r="AA77" s="143">
        <f>IF(OR(V77="",V77=0),0,ROUND(W77/V77*AI77,2))</f>
        <v/>
      </c>
      <c r="AB77" s="144" t="n"/>
      <c r="AC77" s="143">
        <f>ROUND(SUMIF($A$8:$A$114,A77,$D$8:$D$114)+SUMIF($A$8:$A$114,A77,$E$8:$E$114)-SUMIF($A$8:$A$114,A77,$W$8:$W$114),2)</f>
        <v/>
      </c>
      <c r="AD77" s="145">
        <f>IF(OR((SUMIF($A$8:$A$114,A77,$D$8:$D$114)+SUMIF($A$8:$A$114,A77,$E$8:$E$114))=0,COUNTIFS($A$8:$A$114,A77,$F$8:$F$114,"?*")=0,N77="Sin CFDI"),"No identificado",IF(OR(ABS(SUMIF($A$8:$A$114,A77,$L$8:$L$114))&gt;Reglas!$C$7,ABS(SUMIF($A$8:$A$114,A77,$M$8:$M$114))&gt;Reglas!$C$8,ABS(AC77)&gt;Reglas!$C$7,ABS(N(AB77))&gt;Reglas!$C$8),"Conciliado (revisar)",IF(OR(N77="Varios CFDI",N77="Parcial"),"Conciliado (validar)","Conciliado")))</f>
        <v/>
      </c>
      <c r="AE77" s="146" t="n"/>
      <c r="AF77" s="143" t="n"/>
      <c r="AG77" s="143" t="n"/>
      <c r="AH77" s="143" t="n"/>
      <c r="AI77" s="143" t="n"/>
      <c r="AJ77" s="141" t="n"/>
      <c r="AK77" s="143">
        <f>IF(AL77=1,ROUND(SUMIF($A$8:$A$114,A77,$D$8:$D$114)+SUMIF($A$8:$A$114,A77,$E$8:$E$114)-SUMIF($A$8:$A$114,A77,$W$8:$W$114),2),0)</f>
        <v/>
      </c>
      <c r="AL77" s="144" t="n"/>
    </row>
    <row r="78" ht="14.25" customHeight="1" s="100">
      <c r="A78" s="141" t="n"/>
      <c r="B78" s="142" t="n"/>
      <c r="C78" s="141" t="n"/>
      <c r="D78" s="143" t="n"/>
      <c r="E78" s="143" t="n"/>
      <c r="F78" s="141" t="n"/>
      <c r="G78" s="142" t="n"/>
      <c r="H78" s="141" t="n"/>
      <c r="I78" s="141" t="n"/>
      <c r="J78" s="143" t="n"/>
      <c r="K78" s="143" t="n"/>
      <c r="L78" s="143">
        <f>IF(OR(F78="",AL78=0),"",(D78+E78)-(J78+K78))</f>
        <v/>
      </c>
      <c r="M78" s="144">
        <f>IF(OR(F78="",AL78=0,B78=""),"",G78-B78)</f>
        <v/>
      </c>
      <c r="N78" s="141" t="n"/>
      <c r="O78" s="141" t="n"/>
      <c r="P78" s="141" t="n"/>
      <c r="Q78" s="142" t="n"/>
      <c r="R78" s="141" t="n"/>
      <c r="S78" s="141" t="n"/>
      <c r="T78" s="141" t="n"/>
      <c r="U78" s="141" t="n"/>
      <c r="V78" s="143" t="n"/>
      <c r="W78" s="143" t="n"/>
      <c r="X78" s="143">
        <f>IF(OR(V78="",V78=0),0,ROUND(W78/V78*AF78,2))</f>
        <v/>
      </c>
      <c r="Y78" s="143">
        <f>IF(OR(V78="",V78=0),0,ROUND(W78/V78*AG78,2))</f>
        <v/>
      </c>
      <c r="Z78" s="143">
        <f>IF(OR(V78="",V78=0),0,ROUND(W78/V78*AH78,2))</f>
        <v/>
      </c>
      <c r="AA78" s="143">
        <f>IF(OR(V78="",V78=0),0,ROUND(W78/V78*AI78,2))</f>
        <v/>
      </c>
      <c r="AB78" s="144" t="n"/>
      <c r="AC78" s="143">
        <f>ROUND(SUMIF($A$8:$A$114,A78,$D$8:$D$114)+SUMIF($A$8:$A$114,A78,$E$8:$E$114)-SUMIF($A$8:$A$114,A78,$W$8:$W$114),2)</f>
        <v/>
      </c>
      <c r="AD78" s="145">
        <f>IF(OR((SUMIF($A$8:$A$114,A78,$D$8:$D$114)+SUMIF($A$8:$A$114,A78,$E$8:$E$114))=0,COUNTIFS($A$8:$A$114,A78,$F$8:$F$114,"?*")=0,N78="Sin CFDI"),"No identificado",IF(OR(ABS(SUMIF($A$8:$A$114,A78,$L$8:$L$114))&gt;Reglas!$C$7,ABS(SUMIF($A$8:$A$114,A78,$M$8:$M$114))&gt;Reglas!$C$8,ABS(AC78)&gt;Reglas!$C$7,ABS(N(AB78))&gt;Reglas!$C$8),"Conciliado (revisar)",IF(OR(N78="Varios CFDI",N78="Parcial"),"Conciliado (validar)","Conciliado")))</f>
        <v/>
      </c>
      <c r="AE78" s="146" t="n"/>
      <c r="AF78" s="143" t="n"/>
      <c r="AG78" s="143" t="n"/>
      <c r="AH78" s="143" t="n"/>
      <c r="AI78" s="143" t="n"/>
      <c r="AJ78" s="141" t="n"/>
      <c r="AK78" s="143">
        <f>IF(AL78=1,ROUND(SUMIF($A$8:$A$114,A78,$D$8:$D$114)+SUMIF($A$8:$A$114,A78,$E$8:$E$114)-SUMIF($A$8:$A$114,A78,$W$8:$W$114),2),0)</f>
        <v/>
      </c>
      <c r="AL78" s="144" t="n"/>
    </row>
    <row r="79" ht="22.5" customHeight="1" s="100">
      <c r="A79" s="141" t="n"/>
      <c r="B79" s="142" t="n"/>
      <c r="C79" s="141" t="n"/>
      <c r="D79" s="143" t="n"/>
      <c r="E79" s="143" t="n"/>
      <c r="F79" s="141" t="n"/>
      <c r="G79" s="142" t="n"/>
      <c r="H79" s="141" t="n"/>
      <c r="I79" s="141" t="n"/>
      <c r="J79" s="143" t="n"/>
      <c r="K79" s="143" t="n"/>
      <c r="L79" s="143">
        <f>IF(OR(F79="",AL79=0),"",(D79+E79)-(J79+K79))</f>
        <v/>
      </c>
      <c r="M79" s="144">
        <f>IF(OR(F79="",AL79=0,B79=""),"",G79-B79)</f>
        <v/>
      </c>
      <c r="N79" s="141" t="n"/>
      <c r="O79" s="141" t="n"/>
      <c r="P79" s="141" t="n"/>
      <c r="Q79" s="142" t="n"/>
      <c r="R79" s="141" t="n"/>
      <c r="S79" s="141" t="n"/>
      <c r="T79" s="141" t="n"/>
      <c r="U79" s="141" t="n"/>
      <c r="V79" s="143" t="n"/>
      <c r="W79" s="143" t="n"/>
      <c r="X79" s="143">
        <f>IF(OR(V79="",V79=0),0,ROUND(W79/V79*AF79,2))</f>
        <v/>
      </c>
      <c r="Y79" s="143">
        <f>IF(OR(V79="",V79=0),0,ROUND(W79/V79*AG79,2))</f>
        <v/>
      </c>
      <c r="Z79" s="143">
        <f>IF(OR(V79="",V79=0),0,ROUND(W79/V79*AH79,2))</f>
        <v/>
      </c>
      <c r="AA79" s="143">
        <f>IF(OR(V79="",V79=0),0,ROUND(W79/V79*AI79,2))</f>
        <v/>
      </c>
      <c r="AB79" s="144" t="n"/>
      <c r="AC79" s="143">
        <f>ROUND(SUMIF($A$8:$A$114,A79,$D$8:$D$114)+SUMIF($A$8:$A$114,A79,$E$8:$E$114)-SUMIF($A$8:$A$114,A79,$W$8:$W$114),2)</f>
        <v/>
      </c>
      <c r="AD79" s="145">
        <f>IF(OR((SUMIF($A$8:$A$114,A79,$D$8:$D$114)+SUMIF($A$8:$A$114,A79,$E$8:$E$114))=0,COUNTIFS($A$8:$A$114,A79,$F$8:$F$114,"?*")=0,N79="Sin CFDI"),"No identificado",IF(OR(ABS(SUMIF($A$8:$A$114,A79,$L$8:$L$114))&gt;Reglas!$C$7,ABS(SUMIF($A$8:$A$114,A79,$M$8:$M$114))&gt;Reglas!$C$8,ABS(AC79)&gt;Reglas!$C$7,ABS(N(AB79))&gt;Reglas!$C$8),"Conciliado (revisar)",IF(OR(N79="Varios CFDI",N79="Parcial"),"Conciliado (validar)","Conciliado")))</f>
        <v/>
      </c>
      <c r="AE79" s="146" t="n"/>
      <c r="AF79" s="143" t="n"/>
      <c r="AG79" s="143" t="n"/>
      <c r="AH79" s="143" t="n"/>
      <c r="AI79" s="143" t="n"/>
      <c r="AJ79" s="141" t="n"/>
      <c r="AK79" s="143">
        <f>IF(AL79=1,ROUND(SUMIF($A$8:$A$114,A79,$D$8:$D$114)+SUMIF($A$8:$A$114,A79,$E$8:$E$114)-SUMIF($A$8:$A$114,A79,$W$8:$W$114),2),0)</f>
        <v/>
      </c>
      <c r="AL79" s="144" t="n"/>
    </row>
    <row r="80" ht="22.5" customHeight="1" s="100">
      <c r="A80" s="141" t="n"/>
      <c r="B80" s="142" t="n"/>
      <c r="C80" s="141" t="n"/>
      <c r="D80" s="143" t="n"/>
      <c r="E80" s="143" t="n"/>
      <c r="F80" s="141" t="n"/>
      <c r="G80" s="142" t="n"/>
      <c r="H80" s="141" t="n"/>
      <c r="I80" s="141" t="n"/>
      <c r="J80" s="143" t="n"/>
      <c r="K80" s="143" t="n"/>
      <c r="L80" s="143">
        <f>IF(OR(F80="",AL80=0),"",(D80+E80)-(J80+K80))</f>
        <v/>
      </c>
      <c r="M80" s="144">
        <f>IF(OR(F80="",AL80=0,B80=""),"",G80-B80)</f>
        <v/>
      </c>
      <c r="N80" s="141" t="n"/>
      <c r="O80" s="141" t="n"/>
      <c r="P80" s="141" t="n"/>
      <c r="Q80" s="142" t="n"/>
      <c r="R80" s="141" t="n"/>
      <c r="S80" s="141" t="n"/>
      <c r="T80" s="141" t="n"/>
      <c r="U80" s="141" t="n"/>
      <c r="V80" s="143" t="n"/>
      <c r="W80" s="143" t="n"/>
      <c r="X80" s="143">
        <f>IF(OR(V80="",V80=0),0,ROUND(W80/V80*AF80,2))</f>
        <v/>
      </c>
      <c r="Y80" s="143">
        <f>IF(OR(V80="",V80=0),0,ROUND(W80/V80*AG80,2))</f>
        <v/>
      </c>
      <c r="Z80" s="143">
        <f>IF(OR(V80="",V80=0),0,ROUND(W80/V80*AH80,2))</f>
        <v/>
      </c>
      <c r="AA80" s="143">
        <f>IF(OR(V80="",V80=0),0,ROUND(W80/V80*AI80,2))</f>
        <v/>
      </c>
      <c r="AB80" s="144" t="n"/>
      <c r="AC80" s="143">
        <f>ROUND(SUMIF($A$8:$A$114,A80,$D$8:$D$114)+SUMIF($A$8:$A$114,A80,$E$8:$E$114)-SUMIF($A$8:$A$114,A80,$W$8:$W$114),2)</f>
        <v/>
      </c>
      <c r="AD80" s="145">
        <f>IF(OR((SUMIF($A$8:$A$114,A80,$D$8:$D$114)+SUMIF($A$8:$A$114,A80,$E$8:$E$114))=0,COUNTIFS($A$8:$A$114,A80,$F$8:$F$114,"?*")=0,N80="Sin CFDI"),"No identificado",IF(OR(ABS(SUMIF($A$8:$A$114,A80,$L$8:$L$114))&gt;Reglas!$C$7,ABS(SUMIF($A$8:$A$114,A80,$M$8:$M$114))&gt;Reglas!$C$8,ABS(AC80)&gt;Reglas!$C$7,ABS(N(AB80))&gt;Reglas!$C$8),"Conciliado (revisar)",IF(OR(N80="Varios CFDI",N80="Parcial"),"Conciliado (validar)","Conciliado")))</f>
        <v/>
      </c>
      <c r="AE80" s="146" t="n"/>
      <c r="AF80" s="143" t="n"/>
      <c r="AG80" s="143" t="n"/>
      <c r="AH80" s="143" t="n"/>
      <c r="AI80" s="143" t="n"/>
      <c r="AJ80" s="141" t="n"/>
      <c r="AK80" s="143">
        <f>IF(AL80=1,ROUND(SUMIF($A$8:$A$114,A80,$D$8:$D$114)+SUMIF($A$8:$A$114,A80,$E$8:$E$114)-SUMIF($A$8:$A$114,A80,$W$8:$W$114),2),0)</f>
        <v/>
      </c>
      <c r="AL80" s="144" t="n"/>
    </row>
    <row r="81" ht="14.25" customHeight="1" s="100">
      <c r="A81" s="141" t="n"/>
      <c r="B81" s="142" t="n"/>
      <c r="C81" s="141" t="n"/>
      <c r="D81" s="143" t="n"/>
      <c r="E81" s="143" t="n"/>
      <c r="F81" s="141" t="n"/>
      <c r="G81" s="142" t="n"/>
      <c r="H81" s="141" t="n"/>
      <c r="I81" s="141" t="n"/>
      <c r="J81" s="143" t="n"/>
      <c r="K81" s="143" t="n"/>
      <c r="L81" s="143">
        <f>IF(OR(F81="",AL81=0),"",(D81+E81)-(J81+K81))</f>
        <v/>
      </c>
      <c r="M81" s="144">
        <f>IF(OR(F81="",AL81=0,B81=""),"",G81-B81)</f>
        <v/>
      </c>
      <c r="N81" s="141" t="n"/>
      <c r="O81" s="141" t="n"/>
      <c r="P81" s="141" t="n"/>
      <c r="Q81" s="142" t="n"/>
      <c r="R81" s="141" t="n"/>
      <c r="S81" s="141" t="n"/>
      <c r="T81" s="141" t="n"/>
      <c r="U81" s="141" t="n"/>
      <c r="V81" s="143" t="n"/>
      <c r="W81" s="143" t="n"/>
      <c r="X81" s="143">
        <f>IF(OR(V81="",V81=0),0,ROUND(W81/V81*AF81,2))</f>
        <v/>
      </c>
      <c r="Y81" s="143">
        <f>IF(OR(V81="",V81=0),0,ROUND(W81/V81*AG81,2))</f>
        <v/>
      </c>
      <c r="Z81" s="143">
        <f>IF(OR(V81="",V81=0),0,ROUND(W81/V81*AH81,2))</f>
        <v/>
      </c>
      <c r="AA81" s="143">
        <f>IF(OR(V81="",V81=0),0,ROUND(W81/V81*AI81,2))</f>
        <v/>
      </c>
      <c r="AB81" s="144" t="n"/>
      <c r="AC81" s="143">
        <f>ROUND(SUMIF($A$8:$A$114,A81,$D$8:$D$114)+SUMIF($A$8:$A$114,A81,$E$8:$E$114)-SUMIF($A$8:$A$114,A81,$W$8:$W$114),2)</f>
        <v/>
      </c>
      <c r="AD81" s="145">
        <f>IF(OR((SUMIF($A$8:$A$114,A81,$D$8:$D$114)+SUMIF($A$8:$A$114,A81,$E$8:$E$114))=0,COUNTIFS($A$8:$A$114,A81,$F$8:$F$114,"?*")=0,N81="Sin CFDI"),"No identificado",IF(OR(ABS(SUMIF($A$8:$A$114,A81,$L$8:$L$114))&gt;Reglas!$C$7,ABS(SUMIF($A$8:$A$114,A81,$M$8:$M$114))&gt;Reglas!$C$8,ABS(AC81)&gt;Reglas!$C$7,ABS(N(AB81))&gt;Reglas!$C$8),"Conciliado (revisar)",IF(OR(N81="Varios CFDI",N81="Parcial"),"Conciliado (validar)","Conciliado")))</f>
        <v/>
      </c>
      <c r="AE81" s="146" t="n"/>
      <c r="AF81" s="143" t="n"/>
      <c r="AG81" s="143" t="n"/>
      <c r="AH81" s="143" t="n"/>
      <c r="AI81" s="143" t="n"/>
      <c r="AJ81" s="141" t="n"/>
      <c r="AK81" s="143">
        <f>IF(AL81=1,ROUND(SUMIF($A$8:$A$114,A81,$D$8:$D$114)+SUMIF($A$8:$A$114,A81,$E$8:$E$114)-SUMIF($A$8:$A$114,A81,$W$8:$W$114),2),0)</f>
        <v/>
      </c>
      <c r="AL81" s="144" t="n"/>
    </row>
    <row r="82" ht="22.5" customHeight="1" s="100">
      <c r="A82" s="141" t="n"/>
      <c r="B82" s="142" t="n"/>
      <c r="C82" s="141" t="n"/>
      <c r="D82" s="143" t="n"/>
      <c r="E82" s="143" t="n"/>
      <c r="F82" s="141" t="n"/>
      <c r="G82" s="142" t="n"/>
      <c r="H82" s="141" t="n"/>
      <c r="I82" s="141" t="n"/>
      <c r="J82" s="143" t="n"/>
      <c r="K82" s="143" t="n"/>
      <c r="L82" s="143">
        <f>IF(OR(F82="",AL82=0),"",(D82+E82)-(J82+K82))</f>
        <v/>
      </c>
      <c r="M82" s="144">
        <f>IF(OR(F82="",AL82=0,B82=""),"",G82-B82)</f>
        <v/>
      </c>
      <c r="N82" s="141" t="n"/>
      <c r="O82" s="141" t="n"/>
      <c r="P82" s="141" t="n"/>
      <c r="Q82" s="142" t="n"/>
      <c r="R82" s="141" t="n"/>
      <c r="S82" s="141" t="n"/>
      <c r="T82" s="141" t="n"/>
      <c r="U82" s="141" t="n"/>
      <c r="V82" s="143" t="n"/>
      <c r="W82" s="143" t="n"/>
      <c r="X82" s="143">
        <f>IF(OR(V82="",V82=0),0,ROUND(W82/V82*AF82,2))</f>
        <v/>
      </c>
      <c r="Y82" s="143">
        <f>IF(OR(V82="",V82=0),0,ROUND(W82/V82*AG82,2))</f>
        <v/>
      </c>
      <c r="Z82" s="143">
        <f>IF(OR(V82="",V82=0),0,ROUND(W82/V82*AH82,2))</f>
        <v/>
      </c>
      <c r="AA82" s="143">
        <f>IF(OR(V82="",V82=0),0,ROUND(W82/V82*AI82,2))</f>
        <v/>
      </c>
      <c r="AB82" s="144" t="n"/>
      <c r="AC82" s="143">
        <f>ROUND(SUMIF($A$8:$A$114,A82,$D$8:$D$114)+SUMIF($A$8:$A$114,A82,$E$8:$E$114)-SUMIF($A$8:$A$114,A82,$W$8:$W$114),2)</f>
        <v/>
      </c>
      <c r="AD82" s="145">
        <f>IF(OR((SUMIF($A$8:$A$114,A82,$D$8:$D$114)+SUMIF($A$8:$A$114,A82,$E$8:$E$114))=0,COUNTIFS($A$8:$A$114,A82,$F$8:$F$114,"?*")=0,N82="Sin CFDI"),"No identificado",IF(OR(ABS(SUMIF($A$8:$A$114,A82,$L$8:$L$114))&gt;Reglas!$C$7,ABS(SUMIF($A$8:$A$114,A82,$M$8:$M$114))&gt;Reglas!$C$8,ABS(AC82)&gt;Reglas!$C$7,ABS(N(AB82))&gt;Reglas!$C$8),"Conciliado (revisar)",IF(OR(N82="Varios CFDI",N82="Parcial"),"Conciliado (validar)","Conciliado")))</f>
        <v/>
      </c>
      <c r="AE82" s="146" t="n"/>
      <c r="AF82" s="143" t="n"/>
      <c r="AG82" s="143" t="n"/>
      <c r="AH82" s="143" t="n"/>
      <c r="AI82" s="143" t="n"/>
      <c r="AJ82" s="141" t="n"/>
      <c r="AK82" s="143">
        <f>IF(AL82=1,ROUND(SUMIF($A$8:$A$114,A82,$D$8:$D$114)+SUMIF($A$8:$A$114,A82,$E$8:$E$114)-SUMIF($A$8:$A$114,A82,$W$8:$W$114),2),0)</f>
        <v/>
      </c>
      <c r="AL82" s="144" t="n"/>
    </row>
    <row r="83" ht="22.5" customHeight="1" s="100">
      <c r="A83" s="141" t="n"/>
      <c r="B83" s="142" t="n"/>
      <c r="C83" s="141" t="n"/>
      <c r="D83" s="143" t="n"/>
      <c r="E83" s="143" t="n"/>
      <c r="F83" s="141" t="n"/>
      <c r="G83" s="142" t="n"/>
      <c r="H83" s="141" t="n"/>
      <c r="I83" s="141" t="n"/>
      <c r="J83" s="143" t="n"/>
      <c r="K83" s="143" t="n"/>
      <c r="L83" s="143">
        <f>IF(OR(F83="",AL83=0),"",(D83+E83)-(J83+K83))</f>
        <v/>
      </c>
      <c r="M83" s="144">
        <f>IF(OR(F83="",AL83=0,B83=""),"",G83-B83)</f>
        <v/>
      </c>
      <c r="N83" s="141" t="n"/>
      <c r="O83" s="141" t="n"/>
      <c r="P83" s="141" t="n"/>
      <c r="Q83" s="142" t="n"/>
      <c r="R83" s="141" t="n"/>
      <c r="S83" s="141" t="n"/>
      <c r="T83" s="141" t="n"/>
      <c r="U83" s="141" t="n"/>
      <c r="V83" s="143" t="n"/>
      <c r="W83" s="143" t="n"/>
      <c r="X83" s="143">
        <f>IF(OR(V83="",V83=0),0,ROUND(W83/V83*AF83,2))</f>
        <v/>
      </c>
      <c r="Y83" s="143">
        <f>IF(OR(V83="",V83=0),0,ROUND(W83/V83*AG83,2))</f>
        <v/>
      </c>
      <c r="Z83" s="143">
        <f>IF(OR(V83="",V83=0),0,ROUND(W83/V83*AH83,2))</f>
        <v/>
      </c>
      <c r="AA83" s="143">
        <f>IF(OR(V83="",V83=0),0,ROUND(W83/V83*AI83,2))</f>
        <v/>
      </c>
      <c r="AB83" s="144" t="n"/>
      <c r="AC83" s="143">
        <f>ROUND(SUMIF($A$8:$A$114,A83,$D$8:$D$114)+SUMIF($A$8:$A$114,A83,$E$8:$E$114)-SUMIF($A$8:$A$114,A83,$W$8:$W$114),2)</f>
        <v/>
      </c>
      <c r="AD83" s="145">
        <f>IF(OR((SUMIF($A$8:$A$114,A83,$D$8:$D$114)+SUMIF($A$8:$A$114,A83,$E$8:$E$114))=0,COUNTIFS($A$8:$A$114,A83,$F$8:$F$114,"?*")=0,N83="Sin CFDI"),"No identificado",IF(OR(ABS(SUMIF($A$8:$A$114,A83,$L$8:$L$114))&gt;Reglas!$C$7,ABS(SUMIF($A$8:$A$114,A83,$M$8:$M$114))&gt;Reglas!$C$8,ABS(AC83)&gt;Reglas!$C$7,ABS(N(AB83))&gt;Reglas!$C$8),"Conciliado (revisar)",IF(OR(N83="Varios CFDI",N83="Parcial"),"Conciliado (validar)","Conciliado")))</f>
        <v/>
      </c>
      <c r="AE83" s="146" t="n"/>
      <c r="AF83" s="143" t="n"/>
      <c r="AG83" s="143" t="n"/>
      <c r="AH83" s="143" t="n"/>
      <c r="AI83" s="143" t="n"/>
      <c r="AJ83" s="141" t="n"/>
      <c r="AK83" s="143">
        <f>IF(AL83=1,ROUND(SUMIF($A$8:$A$114,A83,$D$8:$D$114)+SUMIF($A$8:$A$114,A83,$E$8:$E$114)-SUMIF($A$8:$A$114,A83,$W$8:$W$114),2),0)</f>
        <v/>
      </c>
      <c r="AL83" s="144" t="n"/>
    </row>
    <row r="84" ht="24" customHeight="1" s="100">
      <c r="A84" s="141" t="n"/>
      <c r="B84" s="142" t="n"/>
      <c r="C84" s="141" t="n"/>
      <c r="D84" s="143" t="n"/>
      <c r="E84" s="143" t="n"/>
      <c r="F84" s="141" t="n"/>
      <c r="G84" s="142" t="n"/>
      <c r="H84" s="141" t="n"/>
      <c r="I84" s="141" t="n"/>
      <c r="J84" s="143" t="n"/>
      <c r="K84" s="143" t="n"/>
      <c r="L84" s="143">
        <f>IF(OR(F84="",AL84=0),"",(D84+E84)-(J84+K84))</f>
        <v/>
      </c>
      <c r="M84" s="144">
        <f>IF(OR(F84="",AL84=0,B84=""),"",G84-B84)</f>
        <v/>
      </c>
      <c r="N84" s="141" t="n"/>
      <c r="O84" s="141" t="n"/>
      <c r="P84" s="141" t="n"/>
      <c r="Q84" s="142" t="n"/>
      <c r="R84" s="141" t="n"/>
      <c r="S84" s="141" t="n"/>
      <c r="T84" s="141" t="n"/>
      <c r="U84" s="141" t="n"/>
      <c r="V84" s="143" t="n"/>
      <c r="W84" s="143" t="n"/>
      <c r="X84" s="143">
        <f>IF(OR(V84="",V84=0),0,ROUND(W84/V84*AF84,2))</f>
        <v/>
      </c>
      <c r="Y84" s="143">
        <f>IF(OR(V84="",V84=0),0,ROUND(W84/V84*AG84,2))</f>
        <v/>
      </c>
      <c r="Z84" s="143">
        <f>IF(OR(V84="",V84=0),0,ROUND(W84/V84*AH84,2))</f>
        <v/>
      </c>
      <c r="AA84" s="143">
        <f>IF(OR(V84="",V84=0),0,ROUND(W84/V84*AI84,2))</f>
        <v/>
      </c>
      <c r="AB84" s="144" t="n"/>
      <c r="AC84" s="143">
        <f>ROUND(SUMIF($A$8:$A$114,A84,$D$8:$D$114)+SUMIF($A$8:$A$114,A84,$E$8:$E$114)-SUMIF($A$8:$A$114,A84,$W$8:$W$114),2)</f>
        <v/>
      </c>
      <c r="AD84" s="145">
        <f>IF(OR((SUMIF($A$8:$A$114,A84,$D$8:$D$114)+SUMIF($A$8:$A$114,A84,$E$8:$E$114))=0,COUNTIFS($A$8:$A$114,A84,$F$8:$F$114,"?*")=0,N84="Sin CFDI"),"No identificado",IF(OR(ABS(SUMIF($A$8:$A$114,A84,$L$8:$L$114))&gt;Reglas!$C$7,ABS(SUMIF($A$8:$A$114,A84,$M$8:$M$114))&gt;Reglas!$C$8,ABS(AC84)&gt;Reglas!$C$7,ABS(N(AB84))&gt;Reglas!$C$8),"Conciliado (revisar)",IF(OR(N84="Varios CFDI",N84="Parcial"),"Conciliado (validar)","Conciliado")))</f>
        <v/>
      </c>
      <c r="AE84" s="146" t="n"/>
      <c r="AF84" s="143" t="n"/>
      <c r="AG84" s="143" t="n"/>
      <c r="AH84" s="143" t="n"/>
      <c r="AI84" s="143" t="n"/>
      <c r="AJ84" s="141" t="n"/>
      <c r="AK84" s="143">
        <f>IF(AL84=1,ROUND(SUMIF($A$8:$A$114,A84,$D$8:$D$114)+SUMIF($A$8:$A$114,A84,$E$8:$E$114)-SUMIF($A$8:$A$114,A84,$W$8:$W$114),2),0)</f>
        <v/>
      </c>
      <c r="AL84" s="144" t="n"/>
    </row>
    <row r="85" ht="24" customHeight="1" s="100">
      <c r="A85" s="141" t="n"/>
      <c r="B85" s="142" t="n"/>
      <c r="C85" s="141" t="n"/>
      <c r="D85" s="143" t="n"/>
      <c r="E85" s="143" t="n"/>
      <c r="F85" s="141" t="n"/>
      <c r="G85" s="142" t="n"/>
      <c r="H85" s="141" t="n"/>
      <c r="I85" s="141" t="n"/>
      <c r="J85" s="143" t="n"/>
      <c r="K85" s="143" t="n"/>
      <c r="L85" s="143">
        <f>IF(OR(F85="",AL85=0),"",(D85+E85)-(J85+K85))</f>
        <v/>
      </c>
      <c r="M85" s="144">
        <f>IF(OR(F85="",AL85=0,B85=""),"",G85-B85)</f>
        <v/>
      </c>
      <c r="N85" s="141" t="n"/>
      <c r="O85" s="141" t="n"/>
      <c r="P85" s="141" t="n"/>
      <c r="Q85" s="142" t="n"/>
      <c r="R85" s="141" t="n"/>
      <c r="S85" s="141" t="n"/>
      <c r="T85" s="141" t="n"/>
      <c r="U85" s="141" t="n"/>
      <c r="V85" s="143" t="n"/>
      <c r="W85" s="143" t="n"/>
      <c r="X85" s="143">
        <f>IF(OR(V85="",V85=0),0,ROUND(W85/V85*AF85,2))</f>
        <v/>
      </c>
      <c r="Y85" s="143">
        <f>IF(OR(V85="",V85=0),0,ROUND(W85/V85*AG85,2))</f>
        <v/>
      </c>
      <c r="Z85" s="143">
        <f>IF(OR(V85="",V85=0),0,ROUND(W85/V85*AH85,2))</f>
        <v/>
      </c>
      <c r="AA85" s="143">
        <f>IF(OR(V85="",V85=0),0,ROUND(W85/V85*AI85,2))</f>
        <v/>
      </c>
      <c r="AB85" s="144" t="n"/>
      <c r="AC85" s="143">
        <f>ROUND(SUMIF($A$8:$A$114,A85,$D$8:$D$114)+SUMIF($A$8:$A$114,A85,$E$8:$E$114)-SUMIF($A$8:$A$114,A85,$W$8:$W$114),2)</f>
        <v/>
      </c>
      <c r="AD85" s="145">
        <f>IF(OR((SUMIF($A$8:$A$114,A85,$D$8:$D$114)+SUMIF($A$8:$A$114,A85,$E$8:$E$114))=0,COUNTIFS($A$8:$A$114,A85,$F$8:$F$114,"?*")=0,N85="Sin CFDI"),"No identificado",IF(OR(ABS(SUMIF($A$8:$A$114,A85,$L$8:$L$114))&gt;Reglas!$C$7,ABS(SUMIF($A$8:$A$114,A85,$M$8:$M$114))&gt;Reglas!$C$8,ABS(AC85)&gt;Reglas!$C$7,ABS(N(AB85))&gt;Reglas!$C$8),"Conciliado (revisar)",IF(OR(N85="Varios CFDI",N85="Parcial"),"Conciliado (validar)","Conciliado")))</f>
        <v/>
      </c>
      <c r="AE85" s="146" t="n"/>
      <c r="AF85" s="143" t="n"/>
      <c r="AG85" s="143" t="n"/>
      <c r="AH85" s="143" t="n"/>
      <c r="AI85" s="143" t="n"/>
      <c r="AJ85" s="141" t="n"/>
      <c r="AK85" s="143">
        <f>IF(AL85=1,ROUND(SUMIF($A$8:$A$114,A85,$D$8:$D$114)+SUMIF($A$8:$A$114,A85,$E$8:$E$114)-SUMIF($A$8:$A$114,A85,$W$8:$W$114),2),0)</f>
        <v/>
      </c>
      <c r="AL85" s="144" t="n"/>
    </row>
    <row r="86" ht="24" customHeight="1" s="100">
      <c r="A86" s="141" t="n"/>
      <c r="B86" s="142" t="n"/>
      <c r="C86" s="141" t="n"/>
      <c r="D86" s="143" t="n"/>
      <c r="E86" s="143" t="n"/>
      <c r="F86" s="141" t="n"/>
      <c r="G86" s="142" t="n"/>
      <c r="H86" s="141" t="n"/>
      <c r="I86" s="141" t="n"/>
      <c r="J86" s="143" t="n"/>
      <c r="K86" s="143" t="n"/>
      <c r="L86" s="143">
        <f>IF(OR(F86="",AL86=0),"",(D86+E86)-(J86+K86))</f>
        <v/>
      </c>
      <c r="M86" s="144">
        <f>IF(OR(F86="",AL86=0,B86=""),"",G86-B86)</f>
        <v/>
      </c>
      <c r="N86" s="141" t="n"/>
      <c r="O86" s="141" t="n"/>
      <c r="P86" s="141" t="n"/>
      <c r="Q86" s="142" t="n"/>
      <c r="R86" s="141" t="n"/>
      <c r="S86" s="141" t="n"/>
      <c r="T86" s="141" t="n"/>
      <c r="U86" s="141" t="n"/>
      <c r="V86" s="143" t="n"/>
      <c r="W86" s="143" t="n"/>
      <c r="X86" s="143">
        <f>IF(OR(V86="",V86=0),0,ROUND(W86/V86*AF86,2))</f>
        <v/>
      </c>
      <c r="Y86" s="143">
        <f>IF(OR(V86="",V86=0),0,ROUND(W86/V86*AG86,2))</f>
        <v/>
      </c>
      <c r="Z86" s="143">
        <f>IF(OR(V86="",V86=0),0,ROUND(W86/V86*AH86,2))</f>
        <v/>
      </c>
      <c r="AA86" s="143">
        <f>IF(OR(V86="",V86=0),0,ROUND(W86/V86*AI86,2))</f>
        <v/>
      </c>
      <c r="AB86" s="144" t="n"/>
      <c r="AC86" s="143">
        <f>ROUND(SUMIF($A$8:$A$114,A86,$D$8:$D$114)+SUMIF($A$8:$A$114,A86,$E$8:$E$114)-SUMIF($A$8:$A$114,A86,$W$8:$W$114),2)</f>
        <v/>
      </c>
      <c r="AD86" s="145">
        <f>IF(OR((SUMIF($A$8:$A$114,A86,$D$8:$D$114)+SUMIF($A$8:$A$114,A86,$E$8:$E$114))=0,COUNTIFS($A$8:$A$114,A86,$F$8:$F$114,"?*")=0,N86="Sin CFDI"),"No identificado",IF(OR(ABS(SUMIF($A$8:$A$114,A86,$L$8:$L$114))&gt;Reglas!$C$7,ABS(SUMIF($A$8:$A$114,A86,$M$8:$M$114))&gt;Reglas!$C$8,ABS(AC86)&gt;Reglas!$C$7,ABS(N(AB86))&gt;Reglas!$C$8),"Conciliado (revisar)",IF(OR(N86="Varios CFDI",N86="Parcial"),"Conciliado (validar)","Conciliado")))</f>
        <v/>
      </c>
      <c r="AE86" s="146" t="n"/>
      <c r="AF86" s="143" t="n"/>
      <c r="AG86" s="143" t="n"/>
      <c r="AH86" s="143" t="n"/>
      <c r="AI86" s="143" t="n"/>
      <c r="AJ86" s="141" t="n"/>
      <c r="AK86" s="143">
        <f>IF(AL86=1,ROUND(SUMIF($A$8:$A$114,A86,$D$8:$D$114)+SUMIF($A$8:$A$114,A86,$E$8:$E$114)-SUMIF($A$8:$A$114,A86,$W$8:$W$114),2),0)</f>
        <v/>
      </c>
      <c r="AL86" s="144" t="n"/>
    </row>
    <row r="87" ht="36" customHeight="1" s="100">
      <c r="A87" s="141" t="n"/>
      <c r="B87" s="142" t="n"/>
      <c r="C87" s="141" t="n"/>
      <c r="D87" s="143" t="n"/>
      <c r="E87" s="143" t="n"/>
      <c r="F87" s="141" t="n"/>
      <c r="G87" s="142" t="n"/>
      <c r="H87" s="141" t="n"/>
      <c r="I87" s="141" t="n"/>
      <c r="J87" s="143" t="n"/>
      <c r="K87" s="143" t="n"/>
      <c r="L87" s="143">
        <f>IF(OR(F87="",AL87=0),"",(D87+E87)-(J87+K87))</f>
        <v/>
      </c>
      <c r="M87" s="144">
        <f>IF(OR(F87="",AL87=0,B87=""),"",G87-B87)</f>
        <v/>
      </c>
      <c r="N87" s="141" t="n"/>
      <c r="O87" s="141" t="n"/>
      <c r="P87" s="141" t="n"/>
      <c r="Q87" s="142" t="n"/>
      <c r="R87" s="141" t="n"/>
      <c r="S87" s="141" t="n"/>
      <c r="T87" s="141" t="n"/>
      <c r="U87" s="141" t="n"/>
      <c r="V87" s="143" t="n"/>
      <c r="W87" s="143" t="n"/>
      <c r="X87" s="143">
        <f>IF(OR(V87="",V87=0),0,ROUND(W87/V87*AF87,2))</f>
        <v/>
      </c>
      <c r="Y87" s="143">
        <f>IF(OR(V87="",V87=0),0,ROUND(W87/V87*AG87,2))</f>
        <v/>
      </c>
      <c r="Z87" s="143">
        <f>IF(OR(V87="",V87=0),0,ROUND(W87/V87*AH87,2))</f>
        <v/>
      </c>
      <c r="AA87" s="143">
        <f>IF(OR(V87="",V87=0),0,ROUND(W87/V87*AI87,2))</f>
        <v/>
      </c>
      <c r="AB87" s="144" t="n"/>
      <c r="AC87" s="143">
        <f>ROUND(SUMIF($A$8:$A$114,A87,$D$8:$D$114)+SUMIF($A$8:$A$114,A87,$E$8:$E$114)-SUMIF($A$8:$A$114,A87,$W$8:$W$114),2)</f>
        <v/>
      </c>
      <c r="AD87" s="145">
        <f>IF(OR((SUMIF($A$8:$A$114,A87,$D$8:$D$114)+SUMIF($A$8:$A$114,A87,$E$8:$E$114))=0,COUNTIFS($A$8:$A$114,A87,$F$8:$F$114,"?*")=0,N87="Sin CFDI"),"No identificado",IF(OR(ABS(SUMIF($A$8:$A$114,A87,$L$8:$L$114))&gt;Reglas!$C$7,ABS(SUMIF($A$8:$A$114,A87,$M$8:$M$114))&gt;Reglas!$C$8,ABS(AC87)&gt;Reglas!$C$7,ABS(N(AB87))&gt;Reglas!$C$8),"Conciliado (revisar)",IF(OR(N87="Varios CFDI",N87="Parcial"),"Conciliado (validar)","Conciliado")))</f>
        <v/>
      </c>
      <c r="AE87" s="146" t="n"/>
      <c r="AF87" s="143" t="n"/>
      <c r="AG87" s="143" t="n"/>
      <c r="AH87" s="143" t="n"/>
      <c r="AI87" s="143" t="n"/>
      <c r="AJ87" s="141" t="n"/>
      <c r="AK87" s="143">
        <f>IF(AL87=1,ROUND(SUMIF($A$8:$A$114,A87,$D$8:$D$114)+SUMIF($A$8:$A$114,A87,$E$8:$E$114)-SUMIF($A$8:$A$114,A87,$W$8:$W$114),2),0)</f>
        <v/>
      </c>
      <c r="AL87" s="144" t="n"/>
    </row>
    <row r="88" ht="14.25" customHeight="1" s="100">
      <c r="A88" s="141" t="n"/>
      <c r="B88" s="142" t="n"/>
      <c r="C88" s="141" t="n"/>
      <c r="D88" s="143" t="n"/>
      <c r="E88" s="143" t="n"/>
      <c r="F88" s="141" t="n"/>
      <c r="G88" s="142" t="n"/>
      <c r="H88" s="141" t="n"/>
      <c r="I88" s="141" t="n"/>
      <c r="J88" s="143" t="n"/>
      <c r="K88" s="143" t="n"/>
      <c r="L88" s="143">
        <f>IF(OR(F88="",AL88=0),"",(D88+E88)-(J88+K88))</f>
        <v/>
      </c>
      <c r="M88" s="144">
        <f>IF(OR(F88="",AL88=0,B88=""),"",G88-B88)</f>
        <v/>
      </c>
      <c r="N88" s="141" t="n"/>
      <c r="O88" s="141" t="n"/>
      <c r="P88" s="141" t="n"/>
      <c r="Q88" s="142" t="n"/>
      <c r="R88" s="141" t="n"/>
      <c r="S88" s="141" t="n"/>
      <c r="T88" s="141" t="n"/>
      <c r="U88" s="141" t="n"/>
      <c r="V88" s="143" t="n"/>
      <c r="W88" s="143" t="n"/>
      <c r="X88" s="143">
        <f>IF(OR(V88="",V88=0),0,ROUND(W88/V88*AF88,2))</f>
        <v/>
      </c>
      <c r="Y88" s="143">
        <f>IF(OR(V88="",V88=0),0,ROUND(W88/V88*AG88,2))</f>
        <v/>
      </c>
      <c r="Z88" s="143">
        <f>IF(OR(V88="",V88=0),0,ROUND(W88/V88*AH88,2))</f>
        <v/>
      </c>
      <c r="AA88" s="143">
        <f>IF(OR(V88="",V88=0),0,ROUND(W88/V88*AI88,2))</f>
        <v/>
      </c>
      <c r="AB88" s="144" t="n"/>
      <c r="AC88" s="143">
        <f>ROUND(SUMIF($A$8:$A$114,A88,$D$8:$D$114)+SUMIF($A$8:$A$114,A88,$E$8:$E$114)-SUMIF($A$8:$A$114,A88,$W$8:$W$114),2)</f>
        <v/>
      </c>
      <c r="AD88" s="145">
        <f>IF(OR((SUMIF($A$8:$A$114,A88,$D$8:$D$114)+SUMIF($A$8:$A$114,A88,$E$8:$E$114))=0,COUNTIFS($A$8:$A$114,A88,$F$8:$F$114,"?*")=0,N88="Sin CFDI"),"No identificado",IF(OR(ABS(SUMIF($A$8:$A$114,A88,$L$8:$L$114))&gt;Reglas!$C$7,ABS(SUMIF($A$8:$A$114,A88,$M$8:$M$114))&gt;Reglas!$C$8,ABS(AC88)&gt;Reglas!$C$7,ABS(N(AB88))&gt;Reglas!$C$8),"Conciliado (revisar)",IF(OR(N88="Varios CFDI",N88="Parcial"),"Conciliado (validar)","Conciliado")))</f>
        <v/>
      </c>
      <c r="AE88" s="146" t="n"/>
      <c r="AF88" s="143" t="n"/>
      <c r="AG88" s="143" t="n"/>
      <c r="AH88" s="143" t="n"/>
      <c r="AI88" s="143" t="n"/>
      <c r="AJ88" s="141" t="n"/>
      <c r="AK88" s="143">
        <f>IF(AL88=1,ROUND(SUMIF($A$8:$A$114,A88,$D$8:$D$114)+SUMIF($A$8:$A$114,A88,$E$8:$E$114)-SUMIF($A$8:$A$114,A88,$W$8:$W$114),2),0)</f>
        <v/>
      </c>
      <c r="AL88" s="144" t="n"/>
    </row>
    <row r="89" ht="24" customHeight="1" s="100">
      <c r="A89" s="141" t="n"/>
      <c r="B89" s="142" t="n"/>
      <c r="C89" s="141" t="n"/>
      <c r="D89" s="143" t="n"/>
      <c r="E89" s="143" t="n"/>
      <c r="F89" s="141" t="n"/>
      <c r="G89" s="142" t="n"/>
      <c r="H89" s="141" t="n"/>
      <c r="I89" s="141" t="n"/>
      <c r="J89" s="143" t="n"/>
      <c r="K89" s="143" t="n"/>
      <c r="L89" s="143">
        <f>IF(OR(F89="",AL89=0),"",(D89+E89)-(J89+K89))</f>
        <v/>
      </c>
      <c r="M89" s="144">
        <f>IF(OR(F89="",AL89=0,B89=""),"",G89-B89)</f>
        <v/>
      </c>
      <c r="N89" s="141" t="n"/>
      <c r="O89" s="141" t="n"/>
      <c r="P89" s="141" t="n"/>
      <c r="Q89" s="142" t="n"/>
      <c r="R89" s="141" t="n"/>
      <c r="S89" s="141" t="n"/>
      <c r="T89" s="141" t="n"/>
      <c r="U89" s="141" t="n"/>
      <c r="V89" s="143" t="n"/>
      <c r="W89" s="143" t="n"/>
      <c r="X89" s="143">
        <f>IF(OR(V89="",V89=0),0,ROUND(W89/V89*AF89,2))</f>
        <v/>
      </c>
      <c r="Y89" s="143">
        <f>IF(OR(V89="",V89=0),0,ROUND(W89/V89*AG89,2))</f>
        <v/>
      </c>
      <c r="Z89" s="143">
        <f>IF(OR(V89="",V89=0),0,ROUND(W89/V89*AH89,2))</f>
        <v/>
      </c>
      <c r="AA89" s="143">
        <f>IF(OR(V89="",V89=0),0,ROUND(W89/V89*AI89,2))</f>
        <v/>
      </c>
      <c r="AB89" s="144" t="n"/>
      <c r="AC89" s="143">
        <f>ROUND(SUMIF($A$8:$A$114,A89,$D$8:$D$114)+SUMIF($A$8:$A$114,A89,$E$8:$E$114)-SUMIF($A$8:$A$114,A89,$W$8:$W$114),2)</f>
        <v/>
      </c>
      <c r="AD89" s="145">
        <f>IF(OR((SUMIF($A$8:$A$114,A89,$D$8:$D$114)+SUMIF($A$8:$A$114,A89,$E$8:$E$114))=0,COUNTIFS($A$8:$A$114,A89,$F$8:$F$114,"?*")=0,N89="Sin CFDI"),"No identificado",IF(OR(ABS(SUMIF($A$8:$A$114,A89,$L$8:$L$114))&gt;Reglas!$C$7,ABS(SUMIF($A$8:$A$114,A89,$M$8:$M$114))&gt;Reglas!$C$8,ABS(AC89)&gt;Reglas!$C$7,ABS(N(AB89))&gt;Reglas!$C$8),"Conciliado (revisar)",IF(OR(N89="Varios CFDI",N89="Parcial"),"Conciliado (validar)","Conciliado")))</f>
        <v/>
      </c>
      <c r="AE89" s="146" t="n"/>
      <c r="AF89" s="143" t="n"/>
      <c r="AG89" s="143" t="n"/>
      <c r="AH89" s="143" t="n"/>
      <c r="AI89" s="143" t="n"/>
      <c r="AJ89" s="141" t="n"/>
      <c r="AK89" s="143">
        <f>IF(AL89=1,ROUND(SUMIF($A$8:$A$114,A89,$D$8:$D$114)+SUMIF($A$8:$A$114,A89,$E$8:$E$114)-SUMIF($A$8:$A$114,A89,$W$8:$W$114),2),0)</f>
        <v/>
      </c>
      <c r="AL89" s="144" t="n"/>
    </row>
    <row r="90" ht="14.25" customHeight="1" s="100">
      <c r="A90" s="141" t="n"/>
      <c r="B90" s="142" t="n"/>
      <c r="C90" s="141" t="n"/>
      <c r="D90" s="143" t="n"/>
      <c r="E90" s="143" t="n"/>
      <c r="F90" s="141" t="n"/>
      <c r="G90" s="142" t="n"/>
      <c r="H90" s="141" t="n"/>
      <c r="I90" s="141" t="n"/>
      <c r="J90" s="143" t="n"/>
      <c r="K90" s="143" t="n"/>
      <c r="L90" s="143">
        <f>IF(OR(F90="",AL90=0),"",(D90+E90)-(J90+K90))</f>
        <v/>
      </c>
      <c r="M90" s="144">
        <f>IF(OR(F90="",AL90=0,B90=""),"",G90-B90)</f>
        <v/>
      </c>
      <c r="N90" s="141" t="n"/>
      <c r="O90" s="141" t="n"/>
      <c r="P90" s="141" t="n"/>
      <c r="Q90" s="142" t="n"/>
      <c r="R90" s="141" t="n"/>
      <c r="S90" s="141" t="n"/>
      <c r="T90" s="141" t="n"/>
      <c r="U90" s="141" t="n"/>
      <c r="V90" s="143" t="n"/>
      <c r="W90" s="143" t="n"/>
      <c r="X90" s="143">
        <f>IF(OR(V90="",V90=0),0,ROUND(W90/V90*AF90,2))</f>
        <v/>
      </c>
      <c r="Y90" s="143">
        <f>IF(OR(V90="",V90=0),0,ROUND(W90/V90*AG90,2))</f>
        <v/>
      </c>
      <c r="Z90" s="143">
        <f>IF(OR(V90="",V90=0),0,ROUND(W90/V90*AH90,2))</f>
        <v/>
      </c>
      <c r="AA90" s="143">
        <f>IF(OR(V90="",V90=0),0,ROUND(W90/V90*AI90,2))</f>
        <v/>
      </c>
      <c r="AB90" s="144" t="n"/>
      <c r="AC90" s="143">
        <f>ROUND(SUMIF($A$8:$A$114,A90,$D$8:$D$114)+SUMIF($A$8:$A$114,A90,$E$8:$E$114)-SUMIF($A$8:$A$114,A90,$W$8:$W$114),2)</f>
        <v/>
      </c>
      <c r="AD90" s="145">
        <f>IF(OR((SUMIF($A$8:$A$114,A90,$D$8:$D$114)+SUMIF($A$8:$A$114,A90,$E$8:$E$114))=0,COUNTIFS($A$8:$A$114,A90,$F$8:$F$114,"?*")=0,N90="Sin CFDI"),"No identificado",IF(OR(ABS(SUMIF($A$8:$A$114,A90,$L$8:$L$114))&gt;Reglas!$C$7,ABS(SUMIF($A$8:$A$114,A90,$M$8:$M$114))&gt;Reglas!$C$8,ABS(AC90)&gt;Reglas!$C$7,ABS(N(AB90))&gt;Reglas!$C$8),"Conciliado (revisar)",IF(OR(N90="Varios CFDI",N90="Parcial"),"Conciliado (validar)","Conciliado")))</f>
        <v/>
      </c>
      <c r="AE90" s="146" t="n"/>
      <c r="AF90" s="143" t="n"/>
      <c r="AG90" s="143" t="n"/>
      <c r="AH90" s="143" t="n"/>
      <c r="AI90" s="143" t="n"/>
      <c r="AJ90" s="141" t="n"/>
      <c r="AK90" s="143">
        <f>IF(AL90=1,ROUND(SUMIF($A$8:$A$114,A90,$D$8:$D$114)+SUMIF($A$8:$A$114,A90,$E$8:$E$114)-SUMIF($A$8:$A$114,A90,$W$8:$W$114),2),0)</f>
        <v/>
      </c>
      <c r="AL90" s="144" t="n"/>
    </row>
    <row r="91" ht="14.25" customHeight="1" s="100">
      <c r="A91" s="141" t="n"/>
      <c r="B91" s="142" t="n"/>
      <c r="C91" s="141" t="n"/>
      <c r="D91" s="143" t="n"/>
      <c r="E91" s="143" t="n"/>
      <c r="F91" s="141" t="n"/>
      <c r="G91" s="142" t="n"/>
      <c r="H91" s="141" t="n"/>
      <c r="I91" s="141" t="n"/>
      <c r="J91" s="143" t="n"/>
      <c r="K91" s="143" t="n"/>
      <c r="L91" s="143">
        <f>IF(OR(F91="",AL91=0),"",(D91+E91)-(J91+K91))</f>
        <v/>
      </c>
      <c r="M91" s="144">
        <f>IF(OR(F91="",AL91=0,B91=""),"",G91-B91)</f>
        <v/>
      </c>
      <c r="N91" s="141" t="n"/>
      <c r="O91" s="141" t="n"/>
      <c r="P91" s="141" t="n"/>
      <c r="Q91" s="142" t="n"/>
      <c r="R91" s="141" t="n"/>
      <c r="S91" s="141" t="n"/>
      <c r="T91" s="141" t="n"/>
      <c r="U91" s="141" t="n"/>
      <c r="V91" s="143" t="n"/>
      <c r="W91" s="143" t="n"/>
      <c r="X91" s="143">
        <f>IF(OR(V91="",V91=0),0,ROUND(W91/V91*AF91,2))</f>
        <v/>
      </c>
      <c r="Y91" s="143">
        <f>IF(OR(V91="",V91=0),0,ROUND(W91/V91*AG91,2))</f>
        <v/>
      </c>
      <c r="Z91" s="143">
        <f>IF(OR(V91="",V91=0),0,ROUND(W91/V91*AH91,2))</f>
        <v/>
      </c>
      <c r="AA91" s="143">
        <f>IF(OR(V91="",V91=0),0,ROUND(W91/V91*AI91,2))</f>
        <v/>
      </c>
      <c r="AB91" s="144" t="n"/>
      <c r="AC91" s="143">
        <f>ROUND(SUMIF($A$8:$A$114,A91,$D$8:$D$114)+SUMIF($A$8:$A$114,A91,$E$8:$E$114)-SUMIF($A$8:$A$114,A91,$W$8:$W$114),2)</f>
        <v/>
      </c>
      <c r="AD91" s="145">
        <f>IF(OR((SUMIF($A$8:$A$114,A91,$D$8:$D$114)+SUMIF($A$8:$A$114,A91,$E$8:$E$114))=0,COUNTIFS($A$8:$A$114,A91,$F$8:$F$114,"?*")=0,N91="Sin CFDI"),"No identificado",IF(OR(ABS(SUMIF($A$8:$A$114,A91,$L$8:$L$114))&gt;Reglas!$C$7,ABS(SUMIF($A$8:$A$114,A91,$M$8:$M$114))&gt;Reglas!$C$8,ABS(AC91)&gt;Reglas!$C$7,ABS(N(AB91))&gt;Reglas!$C$8),"Conciliado (revisar)",IF(OR(N91="Varios CFDI",N91="Parcial"),"Conciliado (validar)","Conciliado")))</f>
        <v/>
      </c>
      <c r="AE91" s="146" t="n"/>
      <c r="AF91" s="143" t="n"/>
      <c r="AG91" s="143" t="n"/>
      <c r="AH91" s="143" t="n"/>
      <c r="AI91" s="143" t="n"/>
      <c r="AJ91" s="141" t="n"/>
      <c r="AK91" s="143">
        <f>IF(AL91=1,ROUND(SUMIF($A$8:$A$114,A91,$D$8:$D$114)+SUMIF($A$8:$A$114,A91,$E$8:$E$114)-SUMIF($A$8:$A$114,A91,$W$8:$W$114),2),0)</f>
        <v/>
      </c>
      <c r="AL91" s="144" t="n"/>
    </row>
    <row r="92" ht="14.25" customHeight="1" s="100">
      <c r="A92" s="141" t="n"/>
      <c r="B92" s="142" t="n"/>
      <c r="C92" s="141" t="n"/>
      <c r="D92" s="143" t="n"/>
      <c r="E92" s="143" t="n"/>
      <c r="F92" s="141" t="n"/>
      <c r="G92" s="142" t="n"/>
      <c r="H92" s="141" t="n"/>
      <c r="I92" s="141" t="n"/>
      <c r="J92" s="143" t="n"/>
      <c r="K92" s="143" t="n"/>
      <c r="L92" s="143">
        <f>IF(OR(F92="",AL92=0),"",(D92+E92)-(J92+K92))</f>
        <v/>
      </c>
      <c r="M92" s="144">
        <f>IF(OR(F92="",AL92=0,B92=""),"",G92-B92)</f>
        <v/>
      </c>
      <c r="N92" s="141" t="n"/>
      <c r="O92" s="141" t="n"/>
      <c r="P92" s="141" t="n"/>
      <c r="Q92" s="142" t="n"/>
      <c r="R92" s="141" t="n"/>
      <c r="S92" s="141" t="n"/>
      <c r="T92" s="141" t="n"/>
      <c r="U92" s="141" t="n"/>
      <c r="V92" s="143" t="n"/>
      <c r="W92" s="143" t="n"/>
      <c r="X92" s="143">
        <f>IF(OR(V92="",V92=0),0,ROUND(W92/V92*AF92,2))</f>
        <v/>
      </c>
      <c r="Y92" s="143">
        <f>IF(OR(V92="",V92=0),0,ROUND(W92/V92*AG92,2))</f>
        <v/>
      </c>
      <c r="Z92" s="143">
        <f>IF(OR(V92="",V92=0),0,ROUND(W92/V92*AH92,2))</f>
        <v/>
      </c>
      <c r="AA92" s="143">
        <f>IF(OR(V92="",V92=0),0,ROUND(W92/V92*AI92,2))</f>
        <v/>
      </c>
      <c r="AB92" s="144" t="n"/>
      <c r="AC92" s="143">
        <f>ROUND(SUMIF($A$8:$A$114,A92,$D$8:$D$114)+SUMIF($A$8:$A$114,A92,$E$8:$E$114)-SUMIF($A$8:$A$114,A92,$W$8:$W$114),2)</f>
        <v/>
      </c>
      <c r="AD92" s="145">
        <f>IF(OR((SUMIF($A$8:$A$114,A92,$D$8:$D$114)+SUMIF($A$8:$A$114,A92,$E$8:$E$114))=0,COUNTIFS($A$8:$A$114,A92,$F$8:$F$114,"?*")=0,N92="Sin CFDI"),"No identificado",IF(OR(ABS(SUMIF($A$8:$A$114,A92,$L$8:$L$114))&gt;Reglas!$C$7,ABS(SUMIF($A$8:$A$114,A92,$M$8:$M$114))&gt;Reglas!$C$8,ABS(AC92)&gt;Reglas!$C$7,ABS(N(AB92))&gt;Reglas!$C$8),"Conciliado (revisar)",IF(OR(N92="Varios CFDI",N92="Parcial"),"Conciliado (validar)","Conciliado")))</f>
        <v/>
      </c>
      <c r="AE92" s="146" t="n"/>
      <c r="AF92" s="143" t="n"/>
      <c r="AG92" s="143" t="n"/>
      <c r="AH92" s="143" t="n"/>
      <c r="AI92" s="143" t="n"/>
      <c r="AJ92" s="141" t="n"/>
      <c r="AK92" s="143">
        <f>IF(AL92=1,ROUND(SUMIF($A$8:$A$114,A92,$D$8:$D$114)+SUMIF($A$8:$A$114,A92,$E$8:$E$114)-SUMIF($A$8:$A$114,A92,$W$8:$W$114),2),0)</f>
        <v/>
      </c>
      <c r="AL92" s="144" t="n"/>
    </row>
    <row r="93" ht="24" customHeight="1" s="100">
      <c r="A93" s="141" t="n"/>
      <c r="B93" s="142" t="n"/>
      <c r="C93" s="141" t="n"/>
      <c r="D93" s="143" t="n"/>
      <c r="E93" s="143" t="n"/>
      <c r="F93" s="141" t="n"/>
      <c r="G93" s="142" t="n"/>
      <c r="H93" s="141" t="n"/>
      <c r="I93" s="141" t="n"/>
      <c r="J93" s="143" t="n"/>
      <c r="K93" s="143" t="n"/>
      <c r="L93" s="143">
        <f>IF(OR(F93="",AL93=0),"",(D93+E93)-(J93+K93))</f>
        <v/>
      </c>
      <c r="M93" s="144">
        <f>IF(OR(F93="",AL93=0,B93=""),"",G93-B93)</f>
        <v/>
      </c>
      <c r="N93" s="141" t="n"/>
      <c r="O93" s="141" t="n"/>
      <c r="P93" s="141" t="n"/>
      <c r="Q93" s="142" t="n"/>
      <c r="R93" s="141" t="n"/>
      <c r="S93" s="141" t="n"/>
      <c r="T93" s="141" t="n"/>
      <c r="U93" s="141" t="n"/>
      <c r="V93" s="143" t="n"/>
      <c r="W93" s="143" t="n"/>
      <c r="X93" s="143">
        <f>IF(OR(V93="",V93=0),0,ROUND(W93/V93*AF93,2))</f>
        <v/>
      </c>
      <c r="Y93" s="143">
        <f>IF(OR(V93="",V93=0),0,ROUND(W93/V93*AG93,2))</f>
        <v/>
      </c>
      <c r="Z93" s="143">
        <f>IF(OR(V93="",V93=0),0,ROUND(W93/V93*AH93,2))</f>
        <v/>
      </c>
      <c r="AA93" s="143">
        <f>IF(OR(V93="",V93=0),0,ROUND(W93/V93*AI93,2))</f>
        <v/>
      </c>
      <c r="AB93" s="144" t="n"/>
      <c r="AC93" s="143">
        <f>ROUND(SUMIF($A$8:$A$114,A93,$D$8:$D$114)+SUMIF($A$8:$A$114,A93,$E$8:$E$114)-SUMIF($A$8:$A$114,A93,$W$8:$W$114),2)</f>
        <v/>
      </c>
      <c r="AD93" s="145">
        <f>IF(OR((SUMIF($A$8:$A$114,A93,$D$8:$D$114)+SUMIF($A$8:$A$114,A93,$E$8:$E$114))=0,COUNTIFS($A$8:$A$114,A93,$F$8:$F$114,"?*")=0,N93="Sin CFDI"),"No identificado",IF(OR(ABS(SUMIF($A$8:$A$114,A93,$L$8:$L$114))&gt;Reglas!$C$7,ABS(SUMIF($A$8:$A$114,A93,$M$8:$M$114))&gt;Reglas!$C$8,ABS(AC93)&gt;Reglas!$C$7,ABS(N(AB93))&gt;Reglas!$C$8),"Conciliado (revisar)",IF(OR(N93="Varios CFDI",N93="Parcial"),"Conciliado (validar)","Conciliado")))</f>
        <v/>
      </c>
      <c r="AE93" s="146" t="n"/>
      <c r="AF93" s="143" t="n"/>
      <c r="AG93" s="143" t="n"/>
      <c r="AH93" s="143" t="n"/>
      <c r="AI93" s="143" t="n"/>
      <c r="AJ93" s="141" t="n"/>
      <c r="AK93" s="143">
        <f>IF(AL93=1,ROUND(SUMIF($A$8:$A$114,A93,$D$8:$D$114)+SUMIF($A$8:$A$114,A93,$E$8:$E$114)-SUMIF($A$8:$A$114,A93,$W$8:$W$114),2),0)</f>
        <v/>
      </c>
      <c r="AL93" s="144" t="n"/>
    </row>
    <row r="94" ht="14.25" customHeight="1" s="100">
      <c r="A94" s="141" t="n"/>
      <c r="B94" s="142" t="n"/>
      <c r="C94" s="141" t="n"/>
      <c r="D94" s="143" t="n"/>
      <c r="E94" s="143" t="n"/>
      <c r="F94" s="141" t="n"/>
      <c r="G94" s="142" t="n"/>
      <c r="H94" s="141" t="n"/>
      <c r="I94" s="141" t="n"/>
      <c r="J94" s="143" t="n"/>
      <c r="K94" s="143" t="n"/>
      <c r="L94" s="143">
        <f>IF(OR(F94="",AL94=0),"",(D94+E94)-(J94+K94))</f>
        <v/>
      </c>
      <c r="M94" s="144">
        <f>IF(OR(F94="",AL94=0,B94=""),"",G94-B94)</f>
        <v/>
      </c>
      <c r="N94" s="141" t="n"/>
      <c r="O94" s="141" t="n"/>
      <c r="P94" s="141" t="n"/>
      <c r="Q94" s="142" t="n"/>
      <c r="R94" s="141" t="n"/>
      <c r="S94" s="141" t="n"/>
      <c r="T94" s="141" t="n"/>
      <c r="U94" s="141" t="n"/>
      <c r="V94" s="143" t="n"/>
      <c r="W94" s="143" t="n"/>
      <c r="X94" s="143">
        <f>IF(OR(V94="",V94=0),0,ROUND(W94/V94*AF94,2))</f>
        <v/>
      </c>
      <c r="Y94" s="143">
        <f>IF(OR(V94="",V94=0),0,ROUND(W94/V94*AG94,2))</f>
        <v/>
      </c>
      <c r="Z94" s="143">
        <f>IF(OR(V94="",V94=0),0,ROUND(W94/V94*AH94,2))</f>
        <v/>
      </c>
      <c r="AA94" s="143">
        <f>IF(OR(V94="",V94=0),0,ROUND(W94/V94*AI94,2))</f>
        <v/>
      </c>
      <c r="AB94" s="144" t="n"/>
      <c r="AC94" s="143">
        <f>ROUND(SUMIF($A$8:$A$114,A94,$D$8:$D$114)+SUMIF($A$8:$A$114,A94,$E$8:$E$114)-SUMIF($A$8:$A$114,A94,$W$8:$W$114),2)</f>
        <v/>
      </c>
      <c r="AD94" s="145">
        <f>IF(OR((SUMIF($A$8:$A$114,A94,$D$8:$D$114)+SUMIF($A$8:$A$114,A94,$E$8:$E$114))=0,COUNTIFS($A$8:$A$114,A94,$F$8:$F$114,"?*")=0,N94="Sin CFDI"),"No identificado",IF(OR(ABS(SUMIF($A$8:$A$114,A94,$L$8:$L$114))&gt;Reglas!$C$7,ABS(SUMIF($A$8:$A$114,A94,$M$8:$M$114))&gt;Reglas!$C$8,ABS(AC94)&gt;Reglas!$C$7,ABS(N(AB94))&gt;Reglas!$C$8),"Conciliado (revisar)",IF(OR(N94="Varios CFDI",N94="Parcial"),"Conciliado (validar)","Conciliado")))</f>
        <v/>
      </c>
      <c r="AE94" s="146" t="n"/>
      <c r="AF94" s="143" t="n"/>
      <c r="AG94" s="143" t="n"/>
      <c r="AH94" s="143" t="n"/>
      <c r="AI94" s="143" t="n"/>
      <c r="AJ94" s="141" t="n"/>
      <c r="AK94" s="143">
        <f>IF(AL94=1,ROUND(SUMIF($A$8:$A$114,A94,$D$8:$D$114)+SUMIF($A$8:$A$114,A94,$E$8:$E$114)-SUMIF($A$8:$A$114,A94,$W$8:$W$114),2),0)</f>
        <v/>
      </c>
      <c r="AL94" s="144" t="n"/>
    </row>
    <row r="95" ht="22.5" customHeight="1" s="100">
      <c r="A95" s="141" t="n"/>
      <c r="B95" s="142" t="n"/>
      <c r="C95" s="141" t="n"/>
      <c r="D95" s="143" t="n"/>
      <c r="E95" s="143" t="n"/>
      <c r="F95" s="141" t="n"/>
      <c r="G95" s="142" t="n"/>
      <c r="H95" s="141" t="n"/>
      <c r="I95" s="141" t="n"/>
      <c r="J95" s="143" t="n"/>
      <c r="K95" s="143" t="n"/>
      <c r="L95" s="143">
        <f>IF(OR(F95="",AL95=0),"",(D95+E95)-(J95+K95))</f>
        <v/>
      </c>
      <c r="M95" s="144">
        <f>IF(OR(F95="",AL95=0,B95=""),"",G95-B95)</f>
        <v/>
      </c>
      <c r="N95" s="141" t="n"/>
      <c r="O95" s="141" t="n"/>
      <c r="P95" s="141" t="n"/>
      <c r="Q95" s="142" t="n"/>
      <c r="R95" s="141" t="n"/>
      <c r="S95" s="141" t="n"/>
      <c r="T95" s="141" t="n"/>
      <c r="U95" s="141" t="n"/>
      <c r="V95" s="143" t="n"/>
      <c r="W95" s="143" t="n"/>
      <c r="X95" s="143">
        <f>IF(OR(V95="",V95=0),0,ROUND(W95/V95*AF95,2))</f>
        <v/>
      </c>
      <c r="Y95" s="143">
        <f>IF(OR(V95="",V95=0),0,ROUND(W95/V95*AG95,2))</f>
        <v/>
      </c>
      <c r="Z95" s="143">
        <f>IF(OR(V95="",V95=0),0,ROUND(W95/V95*AH95,2))</f>
        <v/>
      </c>
      <c r="AA95" s="143">
        <f>IF(OR(V95="",V95=0),0,ROUND(W95/V95*AI95,2))</f>
        <v/>
      </c>
      <c r="AB95" s="144" t="n"/>
      <c r="AC95" s="143">
        <f>ROUND(SUMIF($A$8:$A$114,A95,$D$8:$D$114)+SUMIF($A$8:$A$114,A95,$E$8:$E$114)-SUMIF($A$8:$A$114,A95,$W$8:$W$114),2)</f>
        <v/>
      </c>
      <c r="AD95" s="145">
        <f>IF(OR((SUMIF($A$8:$A$114,A95,$D$8:$D$114)+SUMIF($A$8:$A$114,A95,$E$8:$E$114))=0,COUNTIFS($A$8:$A$114,A95,$F$8:$F$114,"?*")=0,N95="Sin CFDI"),"No identificado",IF(OR(ABS(SUMIF($A$8:$A$114,A95,$L$8:$L$114))&gt;Reglas!$C$7,ABS(SUMIF($A$8:$A$114,A95,$M$8:$M$114))&gt;Reglas!$C$8,ABS(AC95)&gt;Reglas!$C$7,ABS(N(AB95))&gt;Reglas!$C$8),"Conciliado (revisar)",IF(OR(N95="Varios CFDI",N95="Parcial"),"Conciliado (validar)","Conciliado")))</f>
        <v/>
      </c>
      <c r="AE95" s="146" t="n"/>
      <c r="AF95" s="143" t="n"/>
      <c r="AG95" s="143" t="n"/>
      <c r="AH95" s="143" t="n"/>
      <c r="AI95" s="143" t="n"/>
      <c r="AJ95" s="141" t="n"/>
      <c r="AK95" s="143">
        <f>IF(AL95=1,ROUND(SUMIF($A$8:$A$114,A95,$D$8:$D$114)+SUMIF($A$8:$A$114,A95,$E$8:$E$114)-SUMIF($A$8:$A$114,A95,$W$8:$W$114),2),0)</f>
        <v/>
      </c>
      <c r="AL95" s="144" t="n"/>
    </row>
    <row r="96" ht="22.5" customHeight="1" s="100">
      <c r="A96" s="141" t="n"/>
      <c r="B96" s="142" t="n"/>
      <c r="C96" s="141" t="n"/>
      <c r="D96" s="143" t="n"/>
      <c r="E96" s="143" t="n"/>
      <c r="F96" s="141" t="n"/>
      <c r="G96" s="142" t="n"/>
      <c r="H96" s="141" t="n"/>
      <c r="I96" s="141" t="n"/>
      <c r="J96" s="143" t="n"/>
      <c r="K96" s="143" t="n"/>
      <c r="L96" s="143">
        <f>IF(OR(F96="",AL96=0),"",(D96+E96)-(J96+K96))</f>
        <v/>
      </c>
      <c r="M96" s="144">
        <f>IF(OR(F96="",AL96=0,B96=""),"",G96-B96)</f>
        <v/>
      </c>
      <c r="N96" s="141" t="n"/>
      <c r="O96" s="141" t="n"/>
      <c r="P96" s="141" t="n"/>
      <c r="Q96" s="142" t="n"/>
      <c r="R96" s="141" t="n"/>
      <c r="S96" s="141" t="n"/>
      <c r="T96" s="141" t="n"/>
      <c r="U96" s="141" t="n"/>
      <c r="V96" s="143" t="n"/>
      <c r="W96" s="143" t="n"/>
      <c r="X96" s="143">
        <f>IF(OR(V96="",V96=0),0,ROUND(W96/V96*AF96,2))</f>
        <v/>
      </c>
      <c r="Y96" s="143">
        <f>IF(OR(V96="",V96=0),0,ROUND(W96/V96*AG96,2))</f>
        <v/>
      </c>
      <c r="Z96" s="143">
        <f>IF(OR(V96="",V96=0),0,ROUND(W96/V96*AH96,2))</f>
        <v/>
      </c>
      <c r="AA96" s="143">
        <f>IF(OR(V96="",V96=0),0,ROUND(W96/V96*AI96,2))</f>
        <v/>
      </c>
      <c r="AB96" s="144" t="n"/>
      <c r="AC96" s="143">
        <f>ROUND(SUMIF($A$8:$A$114,A96,$D$8:$D$114)+SUMIF($A$8:$A$114,A96,$E$8:$E$114)-SUMIF($A$8:$A$114,A96,$W$8:$W$114),2)</f>
        <v/>
      </c>
      <c r="AD96" s="145">
        <f>IF(OR((SUMIF($A$8:$A$114,A96,$D$8:$D$114)+SUMIF($A$8:$A$114,A96,$E$8:$E$114))=0,COUNTIFS($A$8:$A$114,A96,$F$8:$F$114,"?*")=0,N96="Sin CFDI"),"No identificado",IF(OR(ABS(SUMIF($A$8:$A$114,A96,$L$8:$L$114))&gt;Reglas!$C$7,ABS(SUMIF($A$8:$A$114,A96,$M$8:$M$114))&gt;Reglas!$C$8,ABS(AC96)&gt;Reglas!$C$7,ABS(N(AB96))&gt;Reglas!$C$8),"Conciliado (revisar)",IF(OR(N96="Varios CFDI",N96="Parcial"),"Conciliado (validar)","Conciliado")))</f>
        <v/>
      </c>
      <c r="AE96" s="146" t="n"/>
      <c r="AF96" s="143" t="n"/>
      <c r="AG96" s="143" t="n"/>
      <c r="AH96" s="143" t="n"/>
      <c r="AI96" s="143" t="n"/>
      <c r="AJ96" s="141" t="n"/>
      <c r="AK96" s="143">
        <f>IF(AL96=1,ROUND(SUMIF($A$8:$A$114,A96,$D$8:$D$114)+SUMIF($A$8:$A$114,A96,$E$8:$E$114)-SUMIF($A$8:$A$114,A96,$W$8:$W$114),2),0)</f>
        <v/>
      </c>
      <c r="AL96" s="144" t="n"/>
    </row>
    <row r="97" ht="14.25" customHeight="1" s="100">
      <c r="A97" s="141" t="n"/>
      <c r="B97" s="142" t="n"/>
      <c r="C97" s="141" t="n"/>
      <c r="D97" s="143" t="n"/>
      <c r="E97" s="143" t="n"/>
      <c r="F97" s="141" t="n"/>
      <c r="G97" s="142" t="n"/>
      <c r="H97" s="141" t="n"/>
      <c r="I97" s="141" t="n"/>
      <c r="J97" s="143" t="n"/>
      <c r="K97" s="143" t="n"/>
      <c r="L97" s="143">
        <f>IF(OR(F97="",AL97=0),"",(D97+E97)-(J97+K97))</f>
        <v/>
      </c>
      <c r="M97" s="144">
        <f>IF(OR(F97="",AL97=0,B97=""),"",G97-B97)</f>
        <v/>
      </c>
      <c r="N97" s="141" t="n"/>
      <c r="O97" s="141" t="n"/>
      <c r="P97" s="141" t="n"/>
      <c r="Q97" s="142" t="n"/>
      <c r="R97" s="141" t="n"/>
      <c r="S97" s="141" t="n"/>
      <c r="T97" s="141" t="n"/>
      <c r="U97" s="141" t="n"/>
      <c r="V97" s="143" t="n"/>
      <c r="W97" s="143" t="n"/>
      <c r="X97" s="143">
        <f>IF(OR(V97="",V97=0),0,ROUND(W97/V97*AF97,2))</f>
        <v/>
      </c>
      <c r="Y97" s="143">
        <f>IF(OR(V97="",V97=0),0,ROUND(W97/V97*AG97,2))</f>
        <v/>
      </c>
      <c r="Z97" s="143">
        <f>IF(OR(V97="",V97=0),0,ROUND(W97/V97*AH97,2))</f>
        <v/>
      </c>
      <c r="AA97" s="143">
        <f>IF(OR(V97="",V97=0),0,ROUND(W97/V97*AI97,2))</f>
        <v/>
      </c>
      <c r="AB97" s="144" t="n"/>
      <c r="AC97" s="143">
        <f>ROUND(SUMIF($A$8:$A$114,A97,$D$8:$D$114)+SUMIF($A$8:$A$114,A97,$E$8:$E$114)-SUMIF($A$8:$A$114,A97,$W$8:$W$114),2)</f>
        <v/>
      </c>
      <c r="AD97" s="145">
        <f>IF(OR((SUMIF($A$8:$A$114,A97,$D$8:$D$114)+SUMIF($A$8:$A$114,A97,$E$8:$E$114))=0,COUNTIFS($A$8:$A$114,A97,$F$8:$F$114,"?*")=0,N97="Sin CFDI"),"No identificado",IF(OR(ABS(SUMIF($A$8:$A$114,A97,$L$8:$L$114))&gt;Reglas!$C$7,ABS(SUMIF($A$8:$A$114,A97,$M$8:$M$114))&gt;Reglas!$C$8,ABS(AC97)&gt;Reglas!$C$7,ABS(N(AB97))&gt;Reglas!$C$8),"Conciliado (revisar)",IF(OR(N97="Varios CFDI",N97="Parcial"),"Conciliado (validar)","Conciliado")))</f>
        <v/>
      </c>
      <c r="AE97" s="146" t="n"/>
      <c r="AF97" s="143" t="n"/>
      <c r="AG97" s="143" t="n"/>
      <c r="AH97" s="143" t="n"/>
      <c r="AI97" s="143" t="n"/>
      <c r="AJ97" s="141" t="n"/>
      <c r="AK97" s="143">
        <f>IF(AL97=1,ROUND(SUMIF($A$8:$A$114,A97,$D$8:$D$114)+SUMIF($A$8:$A$114,A97,$E$8:$E$114)-SUMIF($A$8:$A$114,A97,$W$8:$W$114),2),0)</f>
        <v/>
      </c>
      <c r="AL97" s="144" t="n"/>
    </row>
    <row r="98" ht="24" customHeight="1" s="100">
      <c r="A98" s="141" t="n"/>
      <c r="B98" s="142" t="n"/>
      <c r="C98" s="141" t="n"/>
      <c r="D98" s="143" t="n"/>
      <c r="E98" s="143" t="n"/>
      <c r="F98" s="141" t="n"/>
      <c r="G98" s="142" t="n"/>
      <c r="H98" s="141" t="n"/>
      <c r="I98" s="141" t="n"/>
      <c r="J98" s="143" t="n"/>
      <c r="K98" s="143" t="n"/>
      <c r="L98" s="143">
        <f>IF(OR(F98="",AL98=0),"",(D98+E98)-(J98+K98))</f>
        <v/>
      </c>
      <c r="M98" s="144">
        <f>IF(OR(F98="",AL98=0,B98=""),"",G98-B98)</f>
        <v/>
      </c>
      <c r="N98" s="141" t="n"/>
      <c r="O98" s="141" t="n"/>
      <c r="P98" s="141" t="n"/>
      <c r="Q98" s="142" t="n"/>
      <c r="R98" s="141" t="n"/>
      <c r="S98" s="141" t="n"/>
      <c r="T98" s="141" t="n"/>
      <c r="U98" s="141" t="n"/>
      <c r="V98" s="143" t="n"/>
      <c r="W98" s="143" t="n"/>
      <c r="X98" s="143">
        <f>IF(OR(V98="",V98=0),0,ROUND(W98/V98*AF98,2))</f>
        <v/>
      </c>
      <c r="Y98" s="143">
        <f>IF(OR(V98="",V98=0),0,ROUND(W98/V98*AG98,2))</f>
        <v/>
      </c>
      <c r="Z98" s="143">
        <f>IF(OR(V98="",V98=0),0,ROUND(W98/V98*AH98,2))</f>
        <v/>
      </c>
      <c r="AA98" s="143">
        <f>IF(OR(V98="",V98=0),0,ROUND(W98/V98*AI98,2))</f>
        <v/>
      </c>
      <c r="AB98" s="144" t="n"/>
      <c r="AC98" s="143">
        <f>ROUND(SUMIF($A$8:$A$114,A98,$D$8:$D$114)+SUMIF($A$8:$A$114,A98,$E$8:$E$114)-SUMIF($A$8:$A$114,A98,$W$8:$W$114),2)</f>
        <v/>
      </c>
      <c r="AD98" s="145">
        <f>IF(OR((SUMIF($A$8:$A$114,A98,$D$8:$D$114)+SUMIF($A$8:$A$114,A98,$E$8:$E$114))=0,COUNTIFS($A$8:$A$114,A98,$F$8:$F$114,"?*")=0,N98="Sin CFDI"),"No identificado",IF(OR(ABS(SUMIF($A$8:$A$114,A98,$L$8:$L$114))&gt;Reglas!$C$7,ABS(SUMIF($A$8:$A$114,A98,$M$8:$M$114))&gt;Reglas!$C$8,ABS(AC98)&gt;Reglas!$C$7,ABS(N(AB98))&gt;Reglas!$C$8),"Conciliado (revisar)",IF(OR(N98="Varios CFDI",N98="Parcial"),"Conciliado (validar)","Conciliado")))</f>
        <v/>
      </c>
      <c r="AE98" s="146" t="n"/>
      <c r="AF98" s="143" t="n"/>
      <c r="AG98" s="143" t="n"/>
      <c r="AH98" s="143" t="n"/>
      <c r="AI98" s="143" t="n"/>
      <c r="AJ98" s="141" t="n"/>
      <c r="AK98" s="143">
        <f>IF(AL98=1,ROUND(SUMIF($A$8:$A$114,A98,$D$8:$D$114)+SUMIF($A$8:$A$114,A98,$E$8:$E$114)-SUMIF($A$8:$A$114,A98,$W$8:$W$114),2),0)</f>
        <v/>
      </c>
      <c r="AL98" s="144" t="n"/>
    </row>
    <row r="99" ht="22.5" customHeight="1" s="100">
      <c r="A99" s="141" t="n"/>
      <c r="B99" s="142" t="n"/>
      <c r="C99" s="141" t="n"/>
      <c r="D99" s="143" t="n"/>
      <c r="E99" s="143" t="n"/>
      <c r="F99" s="141" t="n"/>
      <c r="G99" s="142" t="n"/>
      <c r="H99" s="141" t="n"/>
      <c r="I99" s="141" t="n"/>
      <c r="J99" s="143" t="n"/>
      <c r="K99" s="143" t="n"/>
      <c r="L99" s="143">
        <f>IF(OR(F99="",AL99=0),"",(D99+E99)-(J99+K99))</f>
        <v/>
      </c>
      <c r="M99" s="144">
        <f>IF(OR(F99="",AL99=0,B99=""),"",G99-B99)</f>
        <v/>
      </c>
      <c r="N99" s="141" t="n"/>
      <c r="O99" s="141" t="n"/>
      <c r="P99" s="141" t="n"/>
      <c r="Q99" s="142" t="n"/>
      <c r="R99" s="141" t="n"/>
      <c r="S99" s="141" t="n"/>
      <c r="T99" s="141" t="n"/>
      <c r="U99" s="141" t="n"/>
      <c r="V99" s="143" t="n"/>
      <c r="W99" s="143" t="n"/>
      <c r="X99" s="143">
        <f>IF(OR(V99="",V99=0),0,ROUND(W99/V99*AF99,2))</f>
        <v/>
      </c>
      <c r="Y99" s="143">
        <f>IF(OR(V99="",V99=0),0,ROUND(W99/V99*AG99,2))</f>
        <v/>
      </c>
      <c r="Z99" s="143">
        <f>IF(OR(V99="",V99=0),0,ROUND(W99/V99*AH99,2))</f>
        <v/>
      </c>
      <c r="AA99" s="143">
        <f>IF(OR(V99="",V99=0),0,ROUND(W99/V99*AI99,2))</f>
        <v/>
      </c>
      <c r="AB99" s="144" t="n"/>
      <c r="AC99" s="143">
        <f>ROUND(SUMIF($A$8:$A$114,A99,$D$8:$D$114)+SUMIF($A$8:$A$114,A99,$E$8:$E$114)-SUMIF($A$8:$A$114,A99,$W$8:$W$114),2)</f>
        <v/>
      </c>
      <c r="AD99" s="145">
        <f>IF(OR((SUMIF($A$8:$A$114,A99,$D$8:$D$114)+SUMIF($A$8:$A$114,A99,$E$8:$E$114))=0,COUNTIFS($A$8:$A$114,A99,$F$8:$F$114,"?*")=0,N99="Sin CFDI"),"No identificado",IF(OR(ABS(SUMIF($A$8:$A$114,A99,$L$8:$L$114))&gt;Reglas!$C$7,ABS(SUMIF($A$8:$A$114,A99,$M$8:$M$114))&gt;Reglas!$C$8,ABS(AC99)&gt;Reglas!$C$7,ABS(N(AB99))&gt;Reglas!$C$8),"Conciliado (revisar)",IF(OR(N99="Varios CFDI",N99="Parcial"),"Conciliado (validar)","Conciliado")))</f>
        <v/>
      </c>
      <c r="AE99" s="146" t="n"/>
      <c r="AF99" s="143" t="n"/>
      <c r="AG99" s="143" t="n"/>
      <c r="AH99" s="143" t="n"/>
      <c r="AI99" s="143" t="n"/>
      <c r="AJ99" s="141" t="n"/>
      <c r="AK99" s="143">
        <f>IF(AL99=1,ROUND(SUMIF($A$8:$A$114,A99,$D$8:$D$114)+SUMIF($A$8:$A$114,A99,$E$8:$E$114)-SUMIF($A$8:$A$114,A99,$W$8:$W$114),2),0)</f>
        <v/>
      </c>
      <c r="AL99" s="144" t="n"/>
    </row>
    <row r="100" ht="22.5" customHeight="1" s="100">
      <c r="A100" s="141" t="n"/>
      <c r="B100" s="142" t="n"/>
      <c r="C100" s="141" t="n"/>
      <c r="D100" s="143" t="n"/>
      <c r="E100" s="143" t="n"/>
      <c r="F100" s="141" t="n"/>
      <c r="G100" s="142" t="n"/>
      <c r="H100" s="141" t="n"/>
      <c r="I100" s="141" t="n"/>
      <c r="J100" s="143" t="n"/>
      <c r="K100" s="143" t="n"/>
      <c r="L100" s="143">
        <f>IF(OR(F100="",AL100=0),"",(D100+E100)-(J100+K100))</f>
        <v/>
      </c>
      <c r="M100" s="144">
        <f>IF(OR(F100="",AL100=0,B100=""),"",G100-B100)</f>
        <v/>
      </c>
      <c r="N100" s="141" t="n"/>
      <c r="O100" s="141" t="n"/>
      <c r="P100" s="141" t="n"/>
      <c r="Q100" s="142" t="n"/>
      <c r="R100" s="141" t="n"/>
      <c r="S100" s="141" t="n"/>
      <c r="T100" s="141" t="n"/>
      <c r="U100" s="141" t="n"/>
      <c r="V100" s="143" t="n"/>
      <c r="W100" s="143" t="n"/>
      <c r="X100" s="143">
        <f>IF(OR(V100="",V100=0),0,ROUND(W100/V100*AF100,2))</f>
        <v/>
      </c>
      <c r="Y100" s="143">
        <f>IF(OR(V100="",V100=0),0,ROUND(W100/V100*AG100,2))</f>
        <v/>
      </c>
      <c r="Z100" s="143">
        <f>IF(OR(V100="",V100=0),0,ROUND(W100/V100*AH100,2))</f>
        <v/>
      </c>
      <c r="AA100" s="143">
        <f>IF(OR(V100="",V100=0),0,ROUND(W100/V100*AI100,2))</f>
        <v/>
      </c>
      <c r="AB100" s="144" t="n"/>
      <c r="AC100" s="143">
        <f>ROUND(SUMIF($A$8:$A$114,A100,$D$8:$D$114)+SUMIF($A$8:$A$114,A100,$E$8:$E$114)-SUMIF($A$8:$A$114,A100,$W$8:$W$114),2)</f>
        <v/>
      </c>
      <c r="AD100" s="145">
        <f>IF(OR((SUMIF($A$8:$A$114,A100,$D$8:$D$114)+SUMIF($A$8:$A$114,A100,$E$8:$E$114))=0,COUNTIFS($A$8:$A$114,A100,$F$8:$F$114,"?*")=0,N100="Sin CFDI"),"No identificado",IF(OR(ABS(SUMIF($A$8:$A$114,A100,$L$8:$L$114))&gt;Reglas!$C$7,ABS(SUMIF($A$8:$A$114,A100,$M$8:$M$114))&gt;Reglas!$C$8,ABS(AC100)&gt;Reglas!$C$7,ABS(N(AB100))&gt;Reglas!$C$8),"Conciliado (revisar)",IF(OR(N100="Varios CFDI",N100="Parcial"),"Conciliado (validar)","Conciliado")))</f>
        <v/>
      </c>
      <c r="AE100" s="146" t="n"/>
      <c r="AF100" s="143" t="n"/>
      <c r="AG100" s="143" t="n"/>
      <c r="AH100" s="143" t="n"/>
      <c r="AI100" s="143" t="n"/>
      <c r="AJ100" s="141" t="n"/>
      <c r="AK100" s="143">
        <f>IF(AL100=1,ROUND(SUMIF($A$8:$A$114,A100,$D$8:$D$114)+SUMIF($A$8:$A$114,A100,$E$8:$E$114)-SUMIF($A$8:$A$114,A100,$W$8:$W$114),2),0)</f>
        <v/>
      </c>
      <c r="AL100" s="144" t="n"/>
    </row>
    <row r="101" ht="24" customHeight="1" s="100">
      <c r="A101" s="141" t="n"/>
      <c r="B101" s="142" t="n"/>
      <c r="C101" s="141" t="n"/>
      <c r="D101" s="143" t="n"/>
      <c r="E101" s="143" t="n"/>
      <c r="F101" s="141" t="n"/>
      <c r="G101" s="142" t="n"/>
      <c r="H101" s="141" t="n"/>
      <c r="I101" s="141" t="n"/>
      <c r="J101" s="143" t="n"/>
      <c r="K101" s="143" t="n"/>
      <c r="L101" s="143">
        <f>IF(OR(F101="",AL101=0),"",(D101+E101)-(J101+K101))</f>
        <v/>
      </c>
      <c r="M101" s="144">
        <f>IF(OR(F101="",AL101=0,B101=""),"",G101-B101)</f>
        <v/>
      </c>
      <c r="N101" s="141" t="n"/>
      <c r="O101" s="141" t="n"/>
      <c r="P101" s="141" t="n"/>
      <c r="Q101" s="142" t="n"/>
      <c r="R101" s="141" t="n"/>
      <c r="S101" s="141" t="n"/>
      <c r="T101" s="141" t="n"/>
      <c r="U101" s="141" t="n"/>
      <c r="V101" s="143" t="n"/>
      <c r="W101" s="143" t="n"/>
      <c r="X101" s="143">
        <f>IF(OR(V101="",V101=0),0,ROUND(W101/V101*AF101,2))</f>
        <v/>
      </c>
      <c r="Y101" s="143">
        <f>IF(OR(V101="",V101=0),0,ROUND(W101/V101*AG101,2))</f>
        <v/>
      </c>
      <c r="Z101" s="143">
        <f>IF(OR(V101="",V101=0),0,ROUND(W101/V101*AH101,2))</f>
        <v/>
      </c>
      <c r="AA101" s="143">
        <f>IF(OR(V101="",V101=0),0,ROUND(W101/V101*AI101,2))</f>
        <v/>
      </c>
      <c r="AB101" s="144" t="n"/>
      <c r="AC101" s="143">
        <f>ROUND(SUMIF($A$8:$A$114,A101,$D$8:$D$114)+SUMIF($A$8:$A$114,A101,$E$8:$E$114)-SUMIF($A$8:$A$114,A101,$W$8:$W$114),2)</f>
        <v/>
      </c>
      <c r="AD101" s="145">
        <f>IF(OR((SUMIF($A$8:$A$114,A101,$D$8:$D$114)+SUMIF($A$8:$A$114,A101,$E$8:$E$114))=0,COUNTIFS($A$8:$A$114,A101,$F$8:$F$114,"?*")=0,N101="Sin CFDI"),"No identificado",IF(OR(ABS(SUMIF($A$8:$A$114,A101,$L$8:$L$114))&gt;Reglas!$C$7,ABS(SUMIF($A$8:$A$114,A101,$M$8:$M$114))&gt;Reglas!$C$8,ABS(AC101)&gt;Reglas!$C$7,ABS(N(AB101))&gt;Reglas!$C$8),"Conciliado (revisar)",IF(OR(N101="Varios CFDI",N101="Parcial"),"Conciliado (validar)","Conciliado")))</f>
        <v/>
      </c>
      <c r="AE101" s="146" t="n"/>
      <c r="AF101" s="143" t="n"/>
      <c r="AG101" s="143" t="n"/>
      <c r="AH101" s="143" t="n"/>
      <c r="AI101" s="143" t="n"/>
      <c r="AJ101" s="141" t="n"/>
      <c r="AK101" s="143">
        <f>IF(AL101=1,ROUND(SUMIF($A$8:$A$114,A101,$D$8:$D$114)+SUMIF($A$8:$A$114,A101,$E$8:$E$114)-SUMIF($A$8:$A$114,A101,$W$8:$W$114),2),0)</f>
        <v/>
      </c>
      <c r="AL101" s="144" t="n"/>
    </row>
    <row r="102" ht="22.5" customHeight="1" s="100">
      <c r="A102" s="141" t="n"/>
      <c r="B102" s="142" t="n"/>
      <c r="C102" s="141" t="n"/>
      <c r="D102" s="143" t="n"/>
      <c r="E102" s="143" t="n"/>
      <c r="F102" s="141" t="n"/>
      <c r="G102" s="142" t="n"/>
      <c r="H102" s="141" t="n"/>
      <c r="I102" s="141" t="n"/>
      <c r="J102" s="143" t="n"/>
      <c r="K102" s="143" t="n"/>
      <c r="L102" s="143">
        <f>IF(OR(F102="",AL102=0),"",(D102+E102)-(J102+K102))</f>
        <v/>
      </c>
      <c r="M102" s="144">
        <f>IF(OR(F102="",AL102=0,B102=""),"",G102-B102)</f>
        <v/>
      </c>
      <c r="N102" s="141" t="n"/>
      <c r="O102" s="141" t="n"/>
      <c r="P102" s="141" t="n"/>
      <c r="Q102" s="142" t="n"/>
      <c r="R102" s="141" t="n"/>
      <c r="S102" s="141" t="n"/>
      <c r="T102" s="141" t="n"/>
      <c r="U102" s="141" t="n"/>
      <c r="V102" s="143" t="n"/>
      <c r="W102" s="143" t="n"/>
      <c r="X102" s="143">
        <f>IF(OR(V102="",V102=0),0,ROUND(W102/V102*AF102,2))</f>
        <v/>
      </c>
      <c r="Y102" s="143">
        <f>IF(OR(V102="",V102=0),0,ROUND(W102/V102*AG102,2))</f>
        <v/>
      </c>
      <c r="Z102" s="143">
        <f>IF(OR(V102="",V102=0),0,ROUND(W102/V102*AH102,2))</f>
        <v/>
      </c>
      <c r="AA102" s="143">
        <f>IF(OR(V102="",V102=0),0,ROUND(W102/V102*AI102,2))</f>
        <v/>
      </c>
      <c r="AB102" s="144" t="n"/>
      <c r="AC102" s="143">
        <f>ROUND(SUMIF($A$8:$A$114,A102,$D$8:$D$114)+SUMIF($A$8:$A$114,A102,$E$8:$E$114)-SUMIF($A$8:$A$114,A102,$W$8:$W$114),2)</f>
        <v/>
      </c>
      <c r="AD102" s="145">
        <f>IF(OR((SUMIF($A$8:$A$114,A102,$D$8:$D$114)+SUMIF($A$8:$A$114,A102,$E$8:$E$114))=0,COUNTIFS($A$8:$A$114,A102,$F$8:$F$114,"?*")=0,N102="Sin CFDI"),"No identificado",IF(OR(ABS(SUMIF($A$8:$A$114,A102,$L$8:$L$114))&gt;Reglas!$C$7,ABS(SUMIF($A$8:$A$114,A102,$M$8:$M$114))&gt;Reglas!$C$8,ABS(AC102)&gt;Reglas!$C$7,ABS(N(AB102))&gt;Reglas!$C$8),"Conciliado (revisar)",IF(OR(N102="Varios CFDI",N102="Parcial"),"Conciliado (validar)","Conciliado")))</f>
        <v/>
      </c>
      <c r="AE102" s="146" t="n"/>
      <c r="AF102" s="143" t="n"/>
      <c r="AG102" s="143" t="n"/>
      <c r="AH102" s="143" t="n"/>
      <c r="AI102" s="143" t="n"/>
      <c r="AJ102" s="141" t="n"/>
      <c r="AK102" s="143">
        <f>IF(AL102=1,ROUND(SUMIF($A$8:$A$114,A102,$D$8:$D$114)+SUMIF($A$8:$A$114,A102,$E$8:$E$114)-SUMIF($A$8:$A$114,A102,$W$8:$W$114),2),0)</f>
        <v/>
      </c>
      <c r="AL102" s="144" t="n"/>
    </row>
    <row r="103" ht="22.5" customHeight="1" s="100">
      <c r="A103" s="141" t="n"/>
      <c r="B103" s="142" t="n"/>
      <c r="C103" s="141" t="n"/>
      <c r="D103" s="143" t="n"/>
      <c r="E103" s="143" t="n"/>
      <c r="F103" s="141" t="n"/>
      <c r="G103" s="142" t="n"/>
      <c r="H103" s="141" t="n"/>
      <c r="I103" s="141" t="n"/>
      <c r="J103" s="143" t="n"/>
      <c r="K103" s="143" t="n"/>
      <c r="L103" s="143">
        <f>IF(OR(F103="",AL103=0),"",(D103+E103)-(J103+K103))</f>
        <v/>
      </c>
      <c r="M103" s="144">
        <f>IF(OR(F103="",AL103=0,B103=""),"",G103-B103)</f>
        <v/>
      </c>
      <c r="N103" s="141" t="n"/>
      <c r="O103" s="141" t="n"/>
      <c r="P103" s="141" t="n"/>
      <c r="Q103" s="142" t="n"/>
      <c r="R103" s="141" t="n"/>
      <c r="S103" s="141" t="n"/>
      <c r="T103" s="141" t="n"/>
      <c r="U103" s="141" t="n"/>
      <c r="V103" s="143" t="n"/>
      <c r="W103" s="143" t="n"/>
      <c r="X103" s="143">
        <f>IF(OR(V103="",V103=0),0,ROUND(W103/V103*AF103,2))</f>
        <v/>
      </c>
      <c r="Y103" s="143">
        <f>IF(OR(V103="",V103=0),0,ROUND(W103/V103*AG103,2))</f>
        <v/>
      </c>
      <c r="Z103" s="143">
        <f>IF(OR(V103="",V103=0),0,ROUND(W103/V103*AH103,2))</f>
        <v/>
      </c>
      <c r="AA103" s="143">
        <f>IF(OR(V103="",V103=0),0,ROUND(W103/V103*AI103,2))</f>
        <v/>
      </c>
      <c r="AB103" s="144" t="n"/>
      <c r="AC103" s="143">
        <f>ROUND(SUMIF($A$8:$A$114,A103,$D$8:$D$114)+SUMIF($A$8:$A$114,A103,$E$8:$E$114)-SUMIF($A$8:$A$114,A103,$W$8:$W$114),2)</f>
        <v/>
      </c>
      <c r="AD103" s="145">
        <f>IF(OR((SUMIF($A$8:$A$114,A103,$D$8:$D$114)+SUMIF($A$8:$A$114,A103,$E$8:$E$114))=0,COUNTIFS($A$8:$A$114,A103,$F$8:$F$114,"?*")=0,N103="Sin CFDI"),"No identificado",IF(OR(ABS(SUMIF($A$8:$A$114,A103,$L$8:$L$114))&gt;Reglas!$C$7,ABS(SUMIF($A$8:$A$114,A103,$M$8:$M$114))&gt;Reglas!$C$8,ABS(AC103)&gt;Reglas!$C$7,ABS(N(AB103))&gt;Reglas!$C$8),"Conciliado (revisar)",IF(OR(N103="Varios CFDI",N103="Parcial"),"Conciliado (validar)","Conciliado")))</f>
        <v/>
      </c>
      <c r="AE103" s="146" t="n"/>
      <c r="AF103" s="143" t="n"/>
      <c r="AG103" s="143" t="n"/>
      <c r="AH103" s="143" t="n"/>
      <c r="AI103" s="143" t="n"/>
      <c r="AJ103" s="141" t="n"/>
      <c r="AK103" s="143">
        <f>IF(AL103=1,ROUND(SUMIF($A$8:$A$114,A103,$D$8:$D$114)+SUMIF($A$8:$A$114,A103,$E$8:$E$114)-SUMIF($A$8:$A$114,A103,$W$8:$W$114),2),0)</f>
        <v/>
      </c>
      <c r="AL103" s="144" t="n"/>
    </row>
    <row r="104" ht="36" customHeight="1" s="100">
      <c r="A104" s="141" t="n"/>
      <c r="B104" s="142" t="n"/>
      <c r="C104" s="141" t="n"/>
      <c r="D104" s="143" t="n"/>
      <c r="E104" s="143" t="n"/>
      <c r="F104" s="141" t="n"/>
      <c r="G104" s="142" t="n"/>
      <c r="H104" s="141" t="n"/>
      <c r="I104" s="141" t="n"/>
      <c r="J104" s="143" t="n"/>
      <c r="K104" s="143" t="n"/>
      <c r="L104" s="143">
        <f>IF(OR(F104="",AL104=0),"",(D104+E104)-(J104+K104))</f>
        <v/>
      </c>
      <c r="M104" s="144">
        <f>IF(OR(F104="",AL104=0,B104=""),"",G104-B104)</f>
        <v/>
      </c>
      <c r="N104" s="141" t="n"/>
      <c r="O104" s="141" t="n"/>
      <c r="P104" s="141" t="n"/>
      <c r="Q104" s="142" t="n"/>
      <c r="R104" s="141" t="n"/>
      <c r="S104" s="141" t="n"/>
      <c r="T104" s="141" t="n"/>
      <c r="U104" s="141" t="n"/>
      <c r="V104" s="143" t="n"/>
      <c r="W104" s="143" t="n"/>
      <c r="X104" s="143">
        <f>IF(OR(V104="",V104=0),0,ROUND(W104/V104*AF104,2))</f>
        <v/>
      </c>
      <c r="Y104" s="143">
        <f>IF(OR(V104="",V104=0),0,ROUND(W104/V104*AG104,2))</f>
        <v/>
      </c>
      <c r="Z104" s="143">
        <f>IF(OR(V104="",V104=0),0,ROUND(W104/V104*AH104,2))</f>
        <v/>
      </c>
      <c r="AA104" s="143">
        <f>IF(OR(V104="",V104=0),0,ROUND(W104/V104*AI104,2))</f>
        <v/>
      </c>
      <c r="AB104" s="144" t="n"/>
      <c r="AC104" s="143">
        <f>ROUND(SUMIF($A$8:$A$114,A104,$D$8:$D$114)+SUMIF($A$8:$A$114,A104,$E$8:$E$114)-SUMIF($A$8:$A$114,A104,$W$8:$W$114),2)</f>
        <v/>
      </c>
      <c r="AD104" s="145">
        <f>IF(OR((SUMIF($A$8:$A$114,A104,$D$8:$D$114)+SUMIF($A$8:$A$114,A104,$E$8:$E$114))=0,COUNTIFS($A$8:$A$114,A104,$F$8:$F$114,"?*")=0,N104="Sin CFDI"),"No identificado",IF(OR(ABS(SUMIF($A$8:$A$114,A104,$L$8:$L$114))&gt;Reglas!$C$7,ABS(SUMIF($A$8:$A$114,A104,$M$8:$M$114))&gt;Reglas!$C$8,ABS(AC104)&gt;Reglas!$C$7,ABS(N(AB104))&gt;Reglas!$C$8),"Conciliado (revisar)",IF(OR(N104="Varios CFDI",N104="Parcial"),"Conciliado (validar)","Conciliado")))</f>
        <v/>
      </c>
      <c r="AE104" s="146" t="n"/>
      <c r="AF104" s="143" t="n"/>
      <c r="AG104" s="143" t="n"/>
      <c r="AH104" s="143" t="n"/>
      <c r="AI104" s="143" t="n"/>
      <c r="AJ104" s="141" t="n"/>
      <c r="AK104" s="143">
        <f>IF(AL104=1,ROUND(SUMIF($A$8:$A$114,A104,$D$8:$D$114)+SUMIF($A$8:$A$114,A104,$E$8:$E$114)-SUMIF($A$8:$A$114,A104,$W$8:$W$114),2),0)</f>
        <v/>
      </c>
      <c r="AL104" s="144" t="n"/>
    </row>
    <row r="105" ht="36" customHeight="1" s="100">
      <c r="A105" s="141" t="n"/>
      <c r="B105" s="142" t="n"/>
      <c r="C105" s="141" t="n"/>
      <c r="D105" s="143" t="n"/>
      <c r="E105" s="143" t="n"/>
      <c r="F105" s="141" t="n"/>
      <c r="G105" s="142" t="n"/>
      <c r="H105" s="141" t="n"/>
      <c r="I105" s="141" t="n"/>
      <c r="J105" s="143" t="n"/>
      <c r="K105" s="143" t="n"/>
      <c r="L105" s="143">
        <f>IF(OR(F105="",AL105=0),"",(D105+E105)-(J105+K105))</f>
        <v/>
      </c>
      <c r="M105" s="144">
        <f>IF(OR(F105="",AL105=0,B105=""),"",G105-B105)</f>
        <v/>
      </c>
      <c r="N105" s="141" t="n"/>
      <c r="O105" s="141" t="n"/>
      <c r="P105" s="141" t="n"/>
      <c r="Q105" s="142" t="n"/>
      <c r="R105" s="141" t="n"/>
      <c r="S105" s="141" t="n"/>
      <c r="T105" s="141" t="n"/>
      <c r="U105" s="141" t="n"/>
      <c r="V105" s="143" t="n"/>
      <c r="W105" s="143" t="n"/>
      <c r="X105" s="143">
        <f>IF(OR(V105="",V105=0),0,ROUND(W105/V105*AF105,2))</f>
        <v/>
      </c>
      <c r="Y105" s="143">
        <f>IF(OR(V105="",V105=0),0,ROUND(W105/V105*AG105,2))</f>
        <v/>
      </c>
      <c r="Z105" s="143">
        <f>IF(OR(V105="",V105=0),0,ROUND(W105/V105*AH105,2))</f>
        <v/>
      </c>
      <c r="AA105" s="143">
        <f>IF(OR(V105="",V105=0),0,ROUND(W105/V105*AI105,2))</f>
        <v/>
      </c>
      <c r="AB105" s="144" t="n"/>
      <c r="AC105" s="143">
        <f>ROUND(SUMIF($A$8:$A$114,A105,$D$8:$D$114)+SUMIF($A$8:$A$114,A105,$E$8:$E$114)-SUMIF($A$8:$A$114,A105,$W$8:$W$114),2)</f>
        <v/>
      </c>
      <c r="AD105" s="145">
        <f>IF(OR((SUMIF($A$8:$A$114,A105,$D$8:$D$114)+SUMIF($A$8:$A$114,A105,$E$8:$E$114))=0,COUNTIFS($A$8:$A$114,A105,$F$8:$F$114,"?*")=0,N105="Sin CFDI"),"No identificado",IF(OR(ABS(SUMIF($A$8:$A$114,A105,$L$8:$L$114))&gt;Reglas!$C$7,ABS(SUMIF($A$8:$A$114,A105,$M$8:$M$114))&gt;Reglas!$C$8,ABS(AC105)&gt;Reglas!$C$7,ABS(N(AB105))&gt;Reglas!$C$8),"Conciliado (revisar)",IF(OR(N105="Varios CFDI",N105="Parcial"),"Conciliado (validar)","Conciliado")))</f>
        <v/>
      </c>
      <c r="AE105" s="146" t="n"/>
      <c r="AF105" s="143" t="n"/>
      <c r="AG105" s="143" t="n"/>
      <c r="AH105" s="143" t="n"/>
      <c r="AI105" s="143" t="n"/>
      <c r="AJ105" s="141" t="n"/>
      <c r="AK105" s="143">
        <f>IF(AL105=1,ROUND(SUMIF($A$8:$A$114,A105,$D$8:$D$114)+SUMIF($A$8:$A$114,A105,$E$8:$E$114)-SUMIF($A$8:$A$114,A105,$W$8:$W$114),2),0)</f>
        <v/>
      </c>
      <c r="AL105" s="144" t="n"/>
    </row>
    <row r="106" ht="22.5" customHeight="1" s="100">
      <c r="A106" s="141" t="n"/>
      <c r="B106" s="142" t="n"/>
      <c r="C106" s="141" t="n"/>
      <c r="D106" s="143" t="n"/>
      <c r="E106" s="143" t="n"/>
      <c r="F106" s="141" t="n"/>
      <c r="G106" s="142" t="n"/>
      <c r="H106" s="141" t="n"/>
      <c r="I106" s="141" t="n"/>
      <c r="J106" s="143" t="n"/>
      <c r="K106" s="143" t="n"/>
      <c r="L106" s="143">
        <f>IF(OR(F106="",AL106=0),"",(D106+E106)-(J106+K106))</f>
        <v/>
      </c>
      <c r="M106" s="144">
        <f>IF(OR(F106="",AL106=0,B106=""),"",G106-B106)</f>
        <v/>
      </c>
      <c r="N106" s="141" t="n"/>
      <c r="O106" s="141" t="n"/>
      <c r="P106" s="141" t="n"/>
      <c r="Q106" s="142" t="n"/>
      <c r="R106" s="141" t="n"/>
      <c r="S106" s="141" t="n"/>
      <c r="T106" s="141" t="n"/>
      <c r="U106" s="141" t="n"/>
      <c r="V106" s="143" t="n"/>
      <c r="W106" s="143" t="n"/>
      <c r="X106" s="143">
        <f>IF(OR(V106="",V106=0),0,ROUND(W106/V106*AF106,2))</f>
        <v/>
      </c>
      <c r="Y106" s="143">
        <f>IF(OR(V106="",V106=0),0,ROUND(W106/V106*AG106,2))</f>
        <v/>
      </c>
      <c r="Z106" s="143">
        <f>IF(OR(V106="",V106=0),0,ROUND(W106/V106*AH106,2))</f>
        <v/>
      </c>
      <c r="AA106" s="143">
        <f>IF(OR(V106="",V106=0),0,ROUND(W106/V106*AI106,2))</f>
        <v/>
      </c>
      <c r="AB106" s="144" t="n"/>
      <c r="AC106" s="143">
        <f>ROUND(SUMIF($A$8:$A$114,A106,$D$8:$D$114)+SUMIF($A$8:$A$114,A106,$E$8:$E$114)-SUMIF($A$8:$A$114,A106,$W$8:$W$114),2)</f>
        <v/>
      </c>
      <c r="AD106" s="145">
        <f>IF(OR((SUMIF($A$8:$A$114,A106,$D$8:$D$114)+SUMIF($A$8:$A$114,A106,$E$8:$E$114))=0,COUNTIFS($A$8:$A$114,A106,$F$8:$F$114,"?*")=0,N106="Sin CFDI"),"No identificado",IF(OR(ABS(SUMIF($A$8:$A$114,A106,$L$8:$L$114))&gt;Reglas!$C$7,ABS(SUMIF($A$8:$A$114,A106,$M$8:$M$114))&gt;Reglas!$C$8,ABS(AC106)&gt;Reglas!$C$7,ABS(N(AB106))&gt;Reglas!$C$8),"Conciliado (revisar)",IF(OR(N106="Varios CFDI",N106="Parcial"),"Conciliado (validar)","Conciliado")))</f>
        <v/>
      </c>
      <c r="AE106" s="146" t="n"/>
      <c r="AF106" s="143" t="n"/>
      <c r="AG106" s="143" t="n"/>
      <c r="AH106" s="143" t="n"/>
      <c r="AI106" s="143" t="n"/>
      <c r="AJ106" s="141" t="n"/>
      <c r="AK106" s="143">
        <f>IF(AL106=1,ROUND(SUMIF($A$8:$A$114,A106,$D$8:$D$114)+SUMIF($A$8:$A$114,A106,$E$8:$E$114)-SUMIF($A$8:$A$114,A106,$W$8:$W$114),2),0)</f>
        <v/>
      </c>
      <c r="AL106" s="144" t="n"/>
    </row>
    <row r="107" ht="22.5" customHeight="1" s="100">
      <c r="A107" s="141" t="n"/>
      <c r="B107" s="142" t="n"/>
      <c r="C107" s="141" t="n"/>
      <c r="D107" s="143" t="n"/>
      <c r="E107" s="143" t="n"/>
      <c r="F107" s="141" t="n"/>
      <c r="G107" s="142" t="n"/>
      <c r="H107" s="141" t="n"/>
      <c r="I107" s="141" t="n"/>
      <c r="J107" s="143" t="n"/>
      <c r="K107" s="143" t="n"/>
      <c r="L107" s="143">
        <f>IF(OR(F107="",AL107=0),"",(D107+E107)-(J107+K107))</f>
        <v/>
      </c>
      <c r="M107" s="144">
        <f>IF(OR(F107="",AL107=0,B107=""),"",G107-B107)</f>
        <v/>
      </c>
      <c r="N107" s="141" t="n"/>
      <c r="O107" s="141" t="n"/>
      <c r="P107" s="141" t="n"/>
      <c r="Q107" s="142" t="n"/>
      <c r="R107" s="141" t="n"/>
      <c r="S107" s="141" t="n"/>
      <c r="T107" s="141" t="n"/>
      <c r="U107" s="141" t="n"/>
      <c r="V107" s="143" t="n"/>
      <c r="W107" s="143" t="n"/>
      <c r="X107" s="143">
        <f>IF(OR(V107="",V107=0),0,ROUND(W107/V107*AF107,2))</f>
        <v/>
      </c>
      <c r="Y107" s="143">
        <f>IF(OR(V107="",V107=0),0,ROUND(W107/V107*AG107,2))</f>
        <v/>
      </c>
      <c r="Z107" s="143">
        <f>IF(OR(V107="",V107=0),0,ROUND(W107/V107*AH107,2))</f>
        <v/>
      </c>
      <c r="AA107" s="143">
        <f>IF(OR(V107="",V107=0),0,ROUND(W107/V107*AI107,2))</f>
        <v/>
      </c>
      <c r="AB107" s="144" t="n"/>
      <c r="AC107" s="143">
        <f>ROUND(SUMIF($A$8:$A$114,A107,$D$8:$D$114)+SUMIF($A$8:$A$114,A107,$E$8:$E$114)-SUMIF($A$8:$A$114,A107,$W$8:$W$114),2)</f>
        <v/>
      </c>
      <c r="AD107" s="145">
        <f>IF(OR((SUMIF($A$8:$A$114,A107,$D$8:$D$114)+SUMIF($A$8:$A$114,A107,$E$8:$E$114))=0,COUNTIFS($A$8:$A$114,A107,$F$8:$F$114,"?*")=0,N107="Sin CFDI"),"No identificado",IF(OR(ABS(SUMIF($A$8:$A$114,A107,$L$8:$L$114))&gt;Reglas!$C$7,ABS(SUMIF($A$8:$A$114,A107,$M$8:$M$114))&gt;Reglas!$C$8,ABS(AC107)&gt;Reglas!$C$7,ABS(N(AB107))&gt;Reglas!$C$8),"Conciliado (revisar)",IF(OR(N107="Varios CFDI",N107="Parcial"),"Conciliado (validar)","Conciliado")))</f>
        <v/>
      </c>
      <c r="AE107" s="146" t="n"/>
      <c r="AF107" s="143" t="n"/>
      <c r="AG107" s="143" t="n"/>
      <c r="AH107" s="143" t="n"/>
      <c r="AI107" s="143" t="n"/>
      <c r="AJ107" s="141" t="n"/>
      <c r="AK107" s="143">
        <f>IF(AL107=1,ROUND(SUMIF($A$8:$A$114,A107,$D$8:$D$114)+SUMIF($A$8:$A$114,A107,$E$8:$E$114)-SUMIF($A$8:$A$114,A107,$W$8:$W$114),2),0)</f>
        <v/>
      </c>
      <c r="AL107" s="144" t="n"/>
    </row>
    <row r="108" ht="24" customHeight="1" s="100">
      <c r="A108" s="141" t="n"/>
      <c r="B108" s="142" t="n"/>
      <c r="C108" s="141" t="n"/>
      <c r="D108" s="143" t="n"/>
      <c r="E108" s="143" t="n"/>
      <c r="F108" s="141" t="n"/>
      <c r="G108" s="142" t="n"/>
      <c r="H108" s="141" t="n"/>
      <c r="I108" s="141" t="n"/>
      <c r="J108" s="143" t="n"/>
      <c r="K108" s="143" t="n"/>
      <c r="L108" s="143">
        <f>IF(OR(F108="",AL108=0),"",(D108+E108)-(J108+K108))</f>
        <v/>
      </c>
      <c r="M108" s="144">
        <f>IF(OR(F108="",AL108=0,B108=""),"",G108-B108)</f>
        <v/>
      </c>
      <c r="N108" s="141" t="n"/>
      <c r="O108" s="141" t="n"/>
      <c r="P108" s="141" t="n"/>
      <c r="Q108" s="142" t="n"/>
      <c r="R108" s="141" t="n"/>
      <c r="S108" s="141" t="n"/>
      <c r="T108" s="141" t="n"/>
      <c r="U108" s="141" t="n"/>
      <c r="V108" s="143" t="n"/>
      <c r="W108" s="143" t="n"/>
      <c r="X108" s="143">
        <f>IF(OR(V108="",V108=0),0,ROUND(W108/V108*AF108,2))</f>
        <v/>
      </c>
      <c r="Y108" s="143">
        <f>IF(OR(V108="",V108=0),0,ROUND(W108/V108*AG108,2))</f>
        <v/>
      </c>
      <c r="Z108" s="143">
        <f>IF(OR(V108="",V108=0),0,ROUND(W108/V108*AH108,2))</f>
        <v/>
      </c>
      <c r="AA108" s="143">
        <f>IF(OR(V108="",V108=0),0,ROUND(W108/V108*AI108,2))</f>
        <v/>
      </c>
      <c r="AB108" s="144" t="n"/>
      <c r="AC108" s="143">
        <f>ROUND(SUMIF($A$8:$A$114,A108,$D$8:$D$114)+SUMIF($A$8:$A$114,A108,$E$8:$E$114)-SUMIF($A$8:$A$114,A108,$W$8:$W$114),2)</f>
        <v/>
      </c>
      <c r="AD108" s="145">
        <f>IF(OR((SUMIF($A$8:$A$114,A108,$D$8:$D$114)+SUMIF($A$8:$A$114,A108,$E$8:$E$114))=0,COUNTIFS($A$8:$A$114,A108,$F$8:$F$114,"?*")=0,N108="Sin CFDI"),"No identificado",IF(OR(ABS(SUMIF($A$8:$A$114,A108,$L$8:$L$114))&gt;Reglas!$C$7,ABS(SUMIF($A$8:$A$114,A108,$M$8:$M$114))&gt;Reglas!$C$8,ABS(AC108)&gt;Reglas!$C$7,ABS(N(AB108))&gt;Reglas!$C$8),"Conciliado (revisar)",IF(OR(N108="Varios CFDI",N108="Parcial"),"Conciliado (validar)","Conciliado")))</f>
        <v/>
      </c>
      <c r="AE108" s="146" t="n"/>
      <c r="AF108" s="143" t="n"/>
      <c r="AG108" s="143" t="n"/>
      <c r="AH108" s="143" t="n"/>
      <c r="AI108" s="143" t="n"/>
      <c r="AJ108" s="141" t="n"/>
      <c r="AK108" s="143">
        <f>IF(AL108=1,ROUND(SUMIF($A$8:$A$114,A108,$D$8:$D$114)+SUMIF($A$8:$A$114,A108,$E$8:$E$114)-SUMIF($A$8:$A$114,A108,$W$8:$W$114),2),0)</f>
        <v/>
      </c>
      <c r="AL108" s="144" t="n"/>
    </row>
    <row r="109" ht="22.5" customHeight="1" s="100">
      <c r="A109" s="141" t="n"/>
      <c r="B109" s="142" t="n"/>
      <c r="C109" s="141" t="n"/>
      <c r="D109" s="143" t="n"/>
      <c r="E109" s="143" t="n"/>
      <c r="F109" s="141" t="n"/>
      <c r="G109" s="142" t="n"/>
      <c r="H109" s="141" t="n"/>
      <c r="I109" s="141" t="n"/>
      <c r="J109" s="143" t="n"/>
      <c r="K109" s="143" t="n"/>
      <c r="L109" s="143">
        <f>IF(OR(F109="",AL109=0),"",(D109+E109)-(J109+K109))</f>
        <v/>
      </c>
      <c r="M109" s="144">
        <f>IF(OR(F109="",AL109=0,B109=""),"",G109-B109)</f>
        <v/>
      </c>
      <c r="N109" s="141" t="n"/>
      <c r="O109" s="141" t="n"/>
      <c r="P109" s="141" t="n"/>
      <c r="Q109" s="142" t="n"/>
      <c r="R109" s="141" t="n"/>
      <c r="S109" s="141" t="n"/>
      <c r="T109" s="141" t="n"/>
      <c r="U109" s="141" t="n"/>
      <c r="V109" s="143" t="n"/>
      <c r="W109" s="143" t="n"/>
      <c r="X109" s="143">
        <f>IF(OR(V109="",V109=0),0,ROUND(W109/V109*AF109,2))</f>
        <v/>
      </c>
      <c r="Y109" s="143">
        <f>IF(OR(V109="",V109=0),0,ROUND(W109/V109*AG109,2))</f>
        <v/>
      </c>
      <c r="Z109" s="143">
        <f>IF(OR(V109="",V109=0),0,ROUND(W109/V109*AH109,2))</f>
        <v/>
      </c>
      <c r="AA109" s="143">
        <f>IF(OR(V109="",V109=0),0,ROUND(W109/V109*AI109,2))</f>
        <v/>
      </c>
      <c r="AB109" s="144" t="n"/>
      <c r="AC109" s="143">
        <f>ROUND(SUMIF($A$8:$A$114,A109,$D$8:$D$114)+SUMIF($A$8:$A$114,A109,$E$8:$E$114)-SUMIF($A$8:$A$114,A109,$W$8:$W$114),2)</f>
        <v/>
      </c>
      <c r="AD109" s="145">
        <f>IF(OR((SUMIF($A$8:$A$114,A109,$D$8:$D$114)+SUMIF($A$8:$A$114,A109,$E$8:$E$114))=0,COUNTIFS($A$8:$A$114,A109,$F$8:$F$114,"?*")=0,N109="Sin CFDI"),"No identificado",IF(OR(ABS(SUMIF($A$8:$A$114,A109,$L$8:$L$114))&gt;Reglas!$C$7,ABS(SUMIF($A$8:$A$114,A109,$M$8:$M$114))&gt;Reglas!$C$8,ABS(AC109)&gt;Reglas!$C$7,ABS(N(AB109))&gt;Reglas!$C$8),"Conciliado (revisar)",IF(OR(N109="Varios CFDI",N109="Parcial"),"Conciliado (validar)","Conciliado")))</f>
        <v/>
      </c>
      <c r="AE109" s="146" t="n"/>
      <c r="AF109" s="143" t="n"/>
      <c r="AG109" s="143" t="n"/>
      <c r="AH109" s="143" t="n"/>
      <c r="AI109" s="143" t="n"/>
      <c r="AJ109" s="141" t="n"/>
      <c r="AK109" s="143">
        <f>IF(AL109=1,ROUND(SUMIF($A$8:$A$114,A109,$D$8:$D$114)+SUMIF($A$8:$A$114,A109,$E$8:$E$114)-SUMIF($A$8:$A$114,A109,$W$8:$W$114),2),0)</f>
        <v/>
      </c>
      <c r="AL109" s="144" t="n"/>
    </row>
    <row r="110" ht="22.5" customHeight="1" s="100">
      <c r="A110" s="141" t="n"/>
      <c r="B110" s="142" t="n"/>
      <c r="C110" s="141" t="n"/>
      <c r="D110" s="143" t="n"/>
      <c r="E110" s="143" t="n"/>
      <c r="F110" s="141" t="n"/>
      <c r="G110" s="142" t="n"/>
      <c r="H110" s="141" t="n"/>
      <c r="I110" s="141" t="n"/>
      <c r="J110" s="143" t="n"/>
      <c r="K110" s="143" t="n"/>
      <c r="L110" s="143">
        <f>IF(OR(F110="",AL110=0),"",(D110+E110)-(J110+K110))</f>
        <v/>
      </c>
      <c r="M110" s="144">
        <f>IF(OR(F110="",AL110=0,B110=""),"",G110-B110)</f>
        <v/>
      </c>
      <c r="N110" s="141" t="n"/>
      <c r="O110" s="141" t="n"/>
      <c r="P110" s="141" t="n"/>
      <c r="Q110" s="142" t="n"/>
      <c r="R110" s="141" t="n"/>
      <c r="S110" s="141" t="n"/>
      <c r="T110" s="141" t="n"/>
      <c r="U110" s="141" t="n"/>
      <c r="V110" s="143" t="n"/>
      <c r="W110" s="143" t="n"/>
      <c r="X110" s="143">
        <f>IF(OR(V110="",V110=0),0,ROUND(W110/V110*AF110,2))</f>
        <v/>
      </c>
      <c r="Y110" s="143">
        <f>IF(OR(V110="",V110=0),0,ROUND(W110/V110*AG110,2))</f>
        <v/>
      </c>
      <c r="Z110" s="143">
        <f>IF(OR(V110="",V110=0),0,ROUND(W110/V110*AH110,2))</f>
        <v/>
      </c>
      <c r="AA110" s="143">
        <f>IF(OR(V110="",V110=0),0,ROUND(W110/V110*AI110,2))</f>
        <v/>
      </c>
      <c r="AB110" s="144" t="n"/>
      <c r="AC110" s="143">
        <f>ROUND(SUMIF($A$8:$A$114,A110,$D$8:$D$114)+SUMIF($A$8:$A$114,A110,$E$8:$E$114)-SUMIF($A$8:$A$114,A110,$W$8:$W$114),2)</f>
        <v/>
      </c>
      <c r="AD110" s="145">
        <f>IF(OR((SUMIF($A$8:$A$114,A110,$D$8:$D$114)+SUMIF($A$8:$A$114,A110,$E$8:$E$114))=0,COUNTIFS($A$8:$A$114,A110,$F$8:$F$114,"?*")=0,N110="Sin CFDI"),"No identificado",IF(OR(ABS(SUMIF($A$8:$A$114,A110,$L$8:$L$114))&gt;Reglas!$C$7,ABS(SUMIF($A$8:$A$114,A110,$M$8:$M$114))&gt;Reglas!$C$8,ABS(AC110)&gt;Reglas!$C$7,ABS(N(AB110))&gt;Reglas!$C$8),"Conciliado (revisar)",IF(OR(N110="Varios CFDI",N110="Parcial"),"Conciliado (validar)","Conciliado")))</f>
        <v/>
      </c>
      <c r="AE110" s="146" t="n"/>
      <c r="AF110" s="143" t="n"/>
      <c r="AG110" s="143" t="n"/>
      <c r="AH110" s="143" t="n"/>
      <c r="AI110" s="143" t="n"/>
      <c r="AJ110" s="141" t="n"/>
      <c r="AK110" s="143">
        <f>IF(AL110=1,ROUND(SUMIF($A$8:$A$114,A110,$D$8:$D$114)+SUMIF($A$8:$A$114,A110,$E$8:$E$114)-SUMIF($A$8:$A$114,A110,$W$8:$W$114),2),0)</f>
        <v/>
      </c>
      <c r="AL110" s="144" t="n"/>
    </row>
    <row r="111" ht="24" customHeight="1" s="100">
      <c r="A111" s="141" t="n"/>
      <c r="B111" s="142" t="n"/>
      <c r="C111" s="141" t="n"/>
      <c r="D111" s="143" t="n"/>
      <c r="E111" s="143" t="n"/>
      <c r="F111" s="141" t="n"/>
      <c r="G111" s="142" t="n"/>
      <c r="H111" s="141" t="n"/>
      <c r="I111" s="141" t="n"/>
      <c r="J111" s="143" t="n"/>
      <c r="K111" s="143" t="n"/>
      <c r="L111" s="143">
        <f>IF(OR(F111="",AL111=0),"",(D111+E111)-(J111+K111))</f>
        <v/>
      </c>
      <c r="M111" s="144">
        <f>IF(OR(F111="",AL111=0,B111=""),"",G111-B111)</f>
        <v/>
      </c>
      <c r="N111" s="141" t="n"/>
      <c r="O111" s="141" t="n"/>
      <c r="P111" s="141" t="n"/>
      <c r="Q111" s="142" t="n"/>
      <c r="R111" s="141" t="n"/>
      <c r="S111" s="141" t="n"/>
      <c r="T111" s="141" t="n"/>
      <c r="U111" s="141" t="n"/>
      <c r="V111" s="143" t="n"/>
      <c r="W111" s="143" t="n"/>
      <c r="X111" s="143">
        <f>IF(OR(V111="",V111=0),0,ROUND(W111/V111*AF111,2))</f>
        <v/>
      </c>
      <c r="Y111" s="143">
        <f>IF(OR(V111="",V111=0),0,ROUND(W111/V111*AG111,2))</f>
        <v/>
      </c>
      <c r="Z111" s="143">
        <f>IF(OR(V111="",V111=0),0,ROUND(W111/V111*AH111,2))</f>
        <v/>
      </c>
      <c r="AA111" s="143">
        <f>IF(OR(V111="",V111=0),0,ROUND(W111/V111*AI111,2))</f>
        <v/>
      </c>
      <c r="AB111" s="144" t="n"/>
      <c r="AC111" s="143">
        <f>ROUND(SUMIF($A$8:$A$114,A111,$D$8:$D$114)+SUMIF($A$8:$A$114,A111,$E$8:$E$114)-SUMIF($A$8:$A$114,A111,$W$8:$W$114),2)</f>
        <v/>
      </c>
      <c r="AD111" s="145">
        <f>IF(OR((SUMIF($A$8:$A$114,A111,$D$8:$D$114)+SUMIF($A$8:$A$114,A111,$E$8:$E$114))=0,COUNTIFS($A$8:$A$114,A111,$F$8:$F$114,"?*")=0,N111="Sin CFDI"),"No identificado",IF(OR(ABS(SUMIF($A$8:$A$114,A111,$L$8:$L$114))&gt;Reglas!$C$7,ABS(SUMIF($A$8:$A$114,A111,$M$8:$M$114))&gt;Reglas!$C$8,ABS(AC111)&gt;Reglas!$C$7,ABS(N(AB111))&gt;Reglas!$C$8),"Conciliado (revisar)",IF(OR(N111="Varios CFDI",N111="Parcial"),"Conciliado (validar)","Conciliado")))</f>
        <v/>
      </c>
      <c r="AE111" s="146" t="n"/>
      <c r="AF111" s="143" t="n"/>
      <c r="AG111" s="143" t="n"/>
      <c r="AH111" s="143" t="n"/>
      <c r="AI111" s="143" t="n"/>
      <c r="AJ111" s="141" t="n"/>
      <c r="AK111" s="143">
        <f>IF(AL111=1,ROUND(SUMIF($A$8:$A$114,A111,$D$8:$D$114)+SUMIF($A$8:$A$114,A111,$E$8:$E$114)-SUMIF($A$8:$A$114,A111,$W$8:$W$114),2),0)</f>
        <v/>
      </c>
      <c r="AL111" s="144" t="n"/>
    </row>
    <row r="112" ht="22.5" customHeight="1" s="100">
      <c r="A112" s="141" t="n"/>
      <c r="B112" s="142" t="n"/>
      <c r="C112" s="141" t="n"/>
      <c r="D112" s="143" t="n"/>
      <c r="E112" s="143" t="n"/>
      <c r="F112" s="141" t="n"/>
      <c r="G112" s="142" t="n"/>
      <c r="H112" s="141" t="n"/>
      <c r="I112" s="141" t="n"/>
      <c r="J112" s="143" t="n"/>
      <c r="K112" s="143" t="n"/>
      <c r="L112" s="143">
        <f>IF(OR(F112="",AL112=0),"",(D112+E112)-(J112+K112))</f>
        <v/>
      </c>
      <c r="M112" s="144">
        <f>IF(OR(F112="",AL112=0,B112=""),"",G112-B112)</f>
        <v/>
      </c>
      <c r="N112" s="141" t="n"/>
      <c r="O112" s="141" t="n"/>
      <c r="P112" s="141" t="n"/>
      <c r="Q112" s="142" t="n"/>
      <c r="R112" s="141" t="n"/>
      <c r="S112" s="141" t="n"/>
      <c r="T112" s="141" t="n"/>
      <c r="U112" s="141" t="n"/>
      <c r="V112" s="143" t="n"/>
      <c r="W112" s="143" t="n"/>
      <c r="X112" s="143">
        <f>IF(OR(V112="",V112=0),0,ROUND(W112/V112*AF112,2))</f>
        <v/>
      </c>
      <c r="Y112" s="143">
        <f>IF(OR(V112="",V112=0),0,ROUND(W112/V112*AG112,2))</f>
        <v/>
      </c>
      <c r="Z112" s="143">
        <f>IF(OR(V112="",V112=0),0,ROUND(W112/V112*AH112,2))</f>
        <v/>
      </c>
      <c r="AA112" s="143">
        <f>IF(OR(V112="",V112=0),0,ROUND(W112/V112*AI112,2))</f>
        <v/>
      </c>
      <c r="AB112" s="144" t="n"/>
      <c r="AC112" s="143">
        <f>ROUND(SUMIF($A$8:$A$114,A112,$D$8:$D$114)+SUMIF($A$8:$A$114,A112,$E$8:$E$114)-SUMIF($A$8:$A$114,A112,$W$8:$W$114),2)</f>
        <v/>
      </c>
      <c r="AD112" s="145">
        <f>IF(OR((SUMIF($A$8:$A$114,A112,$D$8:$D$114)+SUMIF($A$8:$A$114,A112,$E$8:$E$114))=0,COUNTIFS($A$8:$A$114,A112,$F$8:$F$114,"?*")=0,N112="Sin CFDI"),"No identificado",IF(OR(ABS(SUMIF($A$8:$A$114,A112,$L$8:$L$114))&gt;Reglas!$C$7,ABS(SUMIF($A$8:$A$114,A112,$M$8:$M$114))&gt;Reglas!$C$8,ABS(AC112)&gt;Reglas!$C$7,ABS(N(AB112))&gt;Reglas!$C$8),"Conciliado (revisar)",IF(OR(N112="Varios CFDI",N112="Parcial"),"Conciliado (validar)","Conciliado")))</f>
        <v/>
      </c>
      <c r="AE112" s="146" t="n"/>
      <c r="AF112" s="143" t="n"/>
      <c r="AG112" s="143" t="n"/>
      <c r="AH112" s="143" t="n"/>
      <c r="AI112" s="143" t="n"/>
      <c r="AJ112" s="141" t="n"/>
      <c r="AK112" s="143">
        <f>IF(AL112=1,ROUND(SUMIF($A$8:$A$114,A112,$D$8:$D$114)+SUMIF($A$8:$A$114,A112,$E$8:$E$114)-SUMIF($A$8:$A$114,A112,$W$8:$W$114),2),0)</f>
        <v/>
      </c>
      <c r="AL112" s="144" t="n"/>
    </row>
    <row r="113" ht="24" customHeight="1" s="100">
      <c r="A113" s="141" t="n"/>
      <c r="B113" s="142" t="n"/>
      <c r="C113" s="141" t="n"/>
      <c r="D113" s="143" t="n"/>
      <c r="E113" s="143" t="n"/>
      <c r="F113" s="141" t="n"/>
      <c r="G113" s="142" t="n"/>
      <c r="H113" s="141" t="n"/>
      <c r="I113" s="141" t="n"/>
      <c r="J113" s="143" t="n"/>
      <c r="K113" s="143" t="n"/>
      <c r="L113" s="143">
        <f>IF(OR(F113="",AL113=0),"",(D113+E113)-(J113+K113))</f>
        <v/>
      </c>
      <c r="M113" s="144">
        <f>IF(OR(F113="",AL113=0,B113=""),"",G113-B113)</f>
        <v/>
      </c>
      <c r="N113" s="141" t="n"/>
      <c r="O113" s="141" t="n"/>
      <c r="P113" s="141" t="n"/>
      <c r="Q113" s="142" t="n"/>
      <c r="R113" s="141" t="n"/>
      <c r="S113" s="141" t="n"/>
      <c r="T113" s="141" t="n"/>
      <c r="U113" s="141" t="n"/>
      <c r="V113" s="143" t="n"/>
      <c r="W113" s="143" t="n"/>
      <c r="X113" s="143">
        <f>IF(OR(V113="",V113=0),0,ROUND(W113/V113*AF113,2))</f>
        <v/>
      </c>
      <c r="Y113" s="143">
        <f>IF(OR(V113="",V113=0),0,ROUND(W113/V113*AG113,2))</f>
        <v/>
      </c>
      <c r="Z113" s="143">
        <f>IF(OR(V113="",V113=0),0,ROUND(W113/V113*AH113,2))</f>
        <v/>
      </c>
      <c r="AA113" s="143">
        <f>IF(OR(V113="",V113=0),0,ROUND(W113/V113*AI113,2))</f>
        <v/>
      </c>
      <c r="AB113" s="144" t="n"/>
      <c r="AC113" s="143">
        <f>ROUND(SUMIF($A$8:$A$114,A113,$D$8:$D$114)+SUMIF($A$8:$A$114,A113,$E$8:$E$114)-SUMIF($A$8:$A$114,A113,$W$8:$W$114),2)</f>
        <v/>
      </c>
      <c r="AD113" s="145">
        <f>IF(OR((SUMIF($A$8:$A$114,A113,$D$8:$D$114)+SUMIF($A$8:$A$114,A113,$E$8:$E$114))=0,COUNTIFS($A$8:$A$114,A113,$F$8:$F$114,"?*")=0,N113="Sin CFDI"),"No identificado",IF(OR(ABS(SUMIF($A$8:$A$114,A113,$L$8:$L$114))&gt;Reglas!$C$7,ABS(SUMIF($A$8:$A$114,A113,$M$8:$M$114))&gt;Reglas!$C$8,ABS(AC113)&gt;Reglas!$C$7,ABS(N(AB113))&gt;Reglas!$C$8),"Conciliado (revisar)",IF(OR(N113="Varios CFDI",N113="Parcial"),"Conciliado (validar)","Conciliado")))</f>
        <v/>
      </c>
      <c r="AE113" s="146" t="n"/>
      <c r="AF113" s="143" t="n"/>
      <c r="AG113" s="143" t="n"/>
      <c r="AH113" s="143" t="n"/>
      <c r="AI113" s="143" t="n"/>
      <c r="AJ113" s="141" t="n"/>
      <c r="AK113" s="143">
        <f>IF(AL113=1,ROUND(SUMIF($A$8:$A$114,A113,$D$8:$D$114)+SUMIF($A$8:$A$114,A113,$E$8:$E$114)-SUMIF($A$8:$A$114,A113,$W$8:$W$114),2),0)</f>
        <v/>
      </c>
      <c r="AL113" s="144" t="n"/>
    </row>
    <row r="114" ht="36" customHeight="1" s="100">
      <c r="A114" s="141" t="n"/>
      <c r="B114" s="142" t="n"/>
      <c r="C114" s="141" t="n"/>
      <c r="D114" s="143" t="n"/>
      <c r="E114" s="143" t="n"/>
      <c r="F114" s="141" t="n"/>
      <c r="G114" s="142" t="n"/>
      <c r="H114" s="141" t="n"/>
      <c r="I114" s="141" t="n"/>
      <c r="J114" s="143" t="n"/>
      <c r="K114" s="143" t="n"/>
      <c r="L114" s="143">
        <f>IF(OR(F114="",AL114=0),"",(D114+E114)-(J114+K114))</f>
        <v/>
      </c>
      <c r="M114" s="144">
        <f>IF(OR(F114="",AL114=0,B114=""),"",G114-B114)</f>
        <v/>
      </c>
      <c r="N114" s="141" t="n"/>
      <c r="O114" s="141" t="n"/>
      <c r="P114" s="141" t="n"/>
      <c r="Q114" s="142" t="n"/>
      <c r="R114" s="141" t="n"/>
      <c r="S114" s="141" t="n"/>
      <c r="T114" s="141" t="n"/>
      <c r="U114" s="141" t="n"/>
      <c r="V114" s="143" t="n"/>
      <c r="W114" s="143" t="n"/>
      <c r="X114" s="143">
        <f>IF(OR(V114="",V114=0),0,ROUND(W114/V114*AF114,2))</f>
        <v/>
      </c>
      <c r="Y114" s="143">
        <f>IF(OR(V114="",V114=0),0,ROUND(W114/V114*AG114,2))</f>
        <v/>
      </c>
      <c r="Z114" s="143">
        <f>IF(OR(V114="",V114=0),0,ROUND(W114/V114*AH114,2))</f>
        <v/>
      </c>
      <c r="AA114" s="143">
        <f>IF(OR(V114="",V114=0),0,ROUND(W114/V114*AI114,2))</f>
        <v/>
      </c>
      <c r="AB114" s="144" t="n"/>
      <c r="AC114" s="143">
        <f>ROUND(SUMIF($A$8:$A$114,A114,$D$8:$D$114)+SUMIF($A$8:$A$114,A114,$E$8:$E$114)-SUMIF($A$8:$A$114,A114,$W$8:$W$114),2)</f>
        <v/>
      </c>
      <c r="AD114" s="145">
        <f>IF(OR((SUMIF($A$8:$A$114,A114,$D$8:$D$114)+SUMIF($A$8:$A$114,A114,$E$8:$E$114))=0,COUNTIFS($A$8:$A$114,A114,$F$8:$F$114,"?*")=0,N114="Sin CFDI"),"No identificado",IF(OR(ABS(SUMIF($A$8:$A$114,A114,$L$8:$L$114))&gt;Reglas!$C$7,ABS(SUMIF($A$8:$A$114,A114,$M$8:$M$114))&gt;Reglas!$C$8,ABS(AC114)&gt;Reglas!$C$7,ABS(N(AB114))&gt;Reglas!$C$8),"Conciliado (revisar)",IF(OR(N114="Varios CFDI",N114="Parcial"),"Conciliado (validar)","Conciliado")))</f>
        <v/>
      </c>
      <c r="AE114" s="146" t="n"/>
      <c r="AF114" s="143" t="n"/>
      <c r="AG114" s="143" t="n"/>
      <c r="AH114" s="143" t="n"/>
      <c r="AI114" s="143" t="n"/>
      <c r="AJ114" s="141" t="n"/>
      <c r="AK114" s="143">
        <f>IF(AL114=1,ROUND(SUMIF($A$8:$A$114,A114,$D$8:$D$114)+SUMIF($A$8:$A$114,A114,$E$8:$E$114)-SUMIF($A$8:$A$114,A114,$W$8:$W$114),2),0)</f>
        <v/>
      </c>
      <c r="AL114" s="144" t="n"/>
    </row>
    <row r="115" ht="14.25" customHeight="1" s="100">
      <c r="C115" s="147" t="inlineStr">
        <is>
          <t>Totales</t>
        </is>
      </c>
      <c r="D115" s="148">
        <f>SUM(D8:D114)</f>
        <v/>
      </c>
      <c r="E115" s="148">
        <f>SUM(E8:E114)</f>
        <v/>
      </c>
      <c r="J115" s="148">
        <f>SUM(J8:J114)</f>
        <v/>
      </c>
      <c r="K115" s="148">
        <f>SUM(K8:K114)</f>
        <v/>
      </c>
      <c r="W115" s="148">
        <f>SUM(W8:W114)</f>
        <v/>
      </c>
      <c r="X115" s="148">
        <f>SUM(X8:X114)</f>
        <v/>
      </c>
      <c r="Y115" s="148">
        <f>SUM(Y8:Y114)</f>
        <v/>
      </c>
      <c r="Z115" s="148">
        <f>SUM(Z8:Z114)</f>
        <v/>
      </c>
      <c r="AA115" s="148">
        <f>SUM(AA8:AA114)</f>
        <v/>
      </c>
    </row>
  </sheetData>
  <autoFilter ref="A7:AE114"/>
  <mergeCells count="5">
    <mergeCell ref="AD6:AE6"/>
    <mergeCell ref="A5:AE5"/>
    <mergeCell ref="F6:M6"/>
    <mergeCell ref="A6:E6"/>
    <mergeCell ref="N6:AC6"/>
  </mergeCells>
  <conditionalFormatting sqref="AD8:AD114">
    <cfRule type="expression" rank="0" priority="2" equalAverage="0" aboveAverage="0" dxfId="5" text="" percent="0" bottom="0">
      <formula>$AD8="Conciliado"</formula>
    </cfRule>
    <cfRule type="expression" rank="0" priority="3" equalAverage="0" aboveAverage="0" dxfId="6" text="" percent="0" bottom="0">
      <formula>$AD8="Conciliado (validar)"</formula>
    </cfRule>
    <cfRule type="expression" rank="0" priority="4" equalAverage="0" aboveAverage="0" dxfId="7" text="" percent="0" bottom="0">
      <formula>$AD8="Conciliado (revisar)"</formula>
    </cfRule>
    <cfRule type="expression" rank="0" priority="5" equalAverage="0" aboveAverage="0" dxfId="8" text="" percent="0" bottom="0">
      <formula>$AD8="No identificado"</formula>
    </cfRule>
  </conditionalFormatting>
  <conditionalFormatting sqref="N8:AC114">
    <cfRule type="expression" rank="0" priority="6" equalAverage="0" aboveAverage="0" dxfId="9" text="" percent="0" bottom="0">
      <formula>$N8="Parcial"</formula>
    </cfRule>
    <cfRule type="expression" rank="0" priority="7" equalAverage="0" aboveAverage="0" dxfId="10" text="" percent="0" bottom="0">
      <formula>AND($U8="Honorarios",LEFT($AD8,10)="Conciliado")</formula>
    </cfRule>
    <cfRule type="expression" rank="0" priority="8" equalAverage="0" aboveAverage="0" dxfId="11" text="" percent="0" bottom="0">
      <formula>AND($U8="Arrendamiento",LEFT($AD8,10)="Conciliado")</formula>
    </cfRule>
    <cfRule type="expression" rank="0" priority="9" equalAverage="0" aboveAverage="0" dxfId="12" text="" percent="0" bottom="0">
      <formula>AND($U8="RESICO actividad empresarial",LEFT($AD8,10)="Conciliado")</formula>
    </cfRule>
    <cfRule type="expression" rank="0" priority="10" equalAverage="0" aboveAverage="0" dxfId="13" text="" percent="0" bottom="0">
      <formula>AND($U8="RESICO honorarios",LEFT($AD8,10)="Conciliado")</formula>
    </cfRule>
    <cfRule type="expression" rank="0" priority="11" equalAverage="0" aboveAverage="0" dxfId="14" text="" percent="0" bottom="0">
      <formula>AND($U8="RESICO arrendamiento",LEFT($AD8,10)="Conciliado")</formula>
    </cfRule>
    <cfRule type="expression" rank="0" priority="12" equalAverage="0" aboveAverage="0" dxfId="15" text="" percent="0" bottom="0">
      <formula>AND($U8="Fletes",LEFT($AD8,10)="Conciliado")</formula>
    </cfRule>
    <cfRule type="expression" rank="0" priority="13" equalAverage="0" aboveAverage="0" dxfId="16" text="" percent="0" bottom="0">
      <formula>AND($U8="Comisiones",LEFT($AD8,10)="Conciliado")</formula>
    </cfRule>
    <cfRule type="expression" rank="0" priority="14" equalAverage="0" aboveAverage="0" dxfId="17" text="" percent="0" bottom="0">
      <formula>AND($U8="Otra retención",LEFT($AD8,10)="Conciliado")</formula>
    </cfRule>
  </conditionalFormatting>
  <conditionalFormatting sqref="AE8:AE114">
    <cfRule type="expression" rank="0" priority="15" equalAverage="0" aboveAverage="0" dxfId="18" text="" percent="0" bottom="0">
      <formula>ISNUMBER(SEARCH("Alerta",$AE8))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N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6796875" defaultRowHeight="14.25" zeroHeight="0" outlineLevelRow="0"/>
  <cols>
    <col width="9" customWidth="1" style="99" min="1" max="1"/>
    <col width="20" customWidth="1" style="99" min="2" max="2"/>
    <col width="38" customWidth="1" style="99" min="3" max="3"/>
    <col width="11" customWidth="1" style="99" min="4" max="4"/>
    <col width="32" customWidth="1" style="99" min="5" max="5"/>
    <col width="11" customWidth="1" style="99" min="6" max="6"/>
    <col width="14" customWidth="1" style="99" min="7" max="7"/>
    <col width="16" customWidth="1" style="99" min="8" max="8"/>
    <col width="14" customWidth="1" style="99" min="9" max="10"/>
    <col width="12" customWidth="1" style="99" min="11" max="11"/>
    <col width="18" customWidth="1" style="99" min="12" max="12"/>
    <col width="50" customWidth="1" style="99" min="13" max="13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</row>
    <row r="2" ht="25.5" customHeight="1" s="100">
      <c r="A2" s="101" t="n"/>
      <c r="B2" s="101" t="n"/>
      <c r="C2" s="103" t="inlineStr">
        <is>
          <t>Facturas del mes: SAT contra Odoo</t>
        </is>
      </c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</row>
    <row r="4"/>
    <row r="5" ht="14.25" customHeight="1" s="100">
      <c r="A5" s="105" t="inlineStr">
        <is>
          <t>Cada CFDI del mes emitido o recibido se busca en Odoo: las emitidas por serie y folio, las recibidas por folio fiscal. Revisa estado e importe.</t>
        </is>
      </c>
    </row>
    <row r="6"/>
    <row r="7" ht="39.75" customHeight="1" s="100">
      <c r="A7" s="139" t="inlineStr">
        <is>
          <t>Tipo</t>
        </is>
      </c>
      <c r="B7" s="139" t="inlineStr">
        <is>
          <t>Número en Odoo</t>
        </is>
      </c>
      <c r="C7" s="139" t="inlineStr">
        <is>
          <t>UUID</t>
        </is>
      </c>
      <c r="D7" s="139" t="inlineStr">
        <is>
          <t>Fecha CFDI</t>
        </is>
      </c>
      <c r="E7" s="139" t="inlineStr">
        <is>
          <t>Cliente o proveedor</t>
        </is>
      </c>
      <c r="F7" s="139" t="inlineStr">
        <is>
          <t>Estado SAT</t>
        </is>
      </c>
      <c r="G7" s="139" t="inlineStr">
        <is>
          <t>Total CFDI</t>
        </is>
      </c>
      <c r="H7" s="139" t="inlineStr">
        <is>
          <t>Estado en Odoo</t>
        </is>
      </c>
      <c r="I7" s="139" t="inlineStr">
        <is>
          <t>Total Odoo</t>
        </is>
      </c>
      <c r="J7" s="139" t="inlineStr">
        <is>
          <t>Pendiente en Odoo</t>
        </is>
      </c>
      <c r="K7" s="139" t="inlineStr">
        <is>
          <t>Diferencia</t>
        </is>
      </c>
      <c r="L7" s="139" t="inlineStr">
        <is>
          <t>Estatus</t>
        </is>
      </c>
      <c r="M7" s="139" t="inlineStr">
        <is>
          <t>Observación</t>
        </is>
      </c>
    </row>
    <row r="8" ht="14.25" customHeight="1" s="100">
      <c r="A8" s="141" t="n"/>
      <c r="B8" s="141" t="n"/>
      <c r="C8" s="141" t="n"/>
      <c r="D8" s="142" t="n"/>
      <c r="E8" s="141" t="n"/>
      <c r="F8" s="141" t="n"/>
      <c r="G8" s="143" t="n"/>
      <c r="H8" s="141" t="n"/>
      <c r="I8" s="143" t="n"/>
      <c r="J8" s="143" t="n"/>
      <c r="K8" s="143">
        <f>IF(OR(G8="",I8=""),"",ROUND(G8-I8,2))</f>
        <v/>
      </c>
      <c r="L8" s="145">
        <f>IF(OR(B8="",G8=""),"No identificado",IF(AND(F8="Cancelado",H8="Cancelado"),"Conciliado",IF(OR(F8="Cancelado",H8="Cancelado"),"Conciliado (revisar)",IF(ABS(K8)&gt;Reglas!$C$7,"Conciliado (revisar)","Conciliado"))))</f>
        <v/>
      </c>
      <c r="M8" s="146" t="n"/>
    </row>
    <row r="9" ht="14.25" customHeight="1" s="100">
      <c r="A9" s="141" t="n"/>
      <c r="B9" s="141" t="n"/>
      <c r="C9" s="141" t="n"/>
      <c r="D9" s="142" t="n"/>
      <c r="E9" s="141" t="n"/>
      <c r="F9" s="141" t="n"/>
      <c r="G9" s="143" t="n"/>
      <c r="H9" s="141" t="n"/>
      <c r="I9" s="143" t="n"/>
      <c r="J9" s="143" t="n"/>
      <c r="K9" s="143">
        <f>IF(OR(G9="",I9=""),"",ROUND(G9-I9,2))</f>
        <v/>
      </c>
      <c r="L9" s="145">
        <f>IF(OR(B9="",G9=""),"No identificado",IF(AND(F9="Cancelado",H9="Cancelado"),"Conciliado",IF(OR(F9="Cancelado",H9="Cancelado"),"Conciliado (revisar)",IF(ABS(K9)&gt;Reglas!$C$7,"Conciliado (revisar)","Conciliado"))))</f>
        <v/>
      </c>
      <c r="M9" s="146" t="n"/>
    </row>
    <row r="10" ht="14.25" customHeight="1" s="100">
      <c r="A10" s="141" t="n"/>
      <c r="B10" s="141" t="n"/>
      <c r="C10" s="141" t="n"/>
      <c r="D10" s="142" t="n"/>
      <c r="E10" s="141" t="n"/>
      <c r="F10" s="141" t="n"/>
      <c r="G10" s="143" t="n"/>
      <c r="H10" s="141" t="n"/>
      <c r="I10" s="143" t="n"/>
      <c r="J10" s="143" t="n"/>
      <c r="K10" s="143">
        <f>IF(OR(G10="",I10=""),"",ROUND(G10-I10,2))</f>
        <v/>
      </c>
      <c r="L10" s="145">
        <f>IF(OR(B10="",G10=""),"No identificado",IF(AND(F10="Cancelado",H10="Cancelado"),"Conciliado",IF(OR(F10="Cancelado",H10="Cancelado"),"Conciliado (revisar)",IF(ABS(K10)&gt;Reglas!$C$7,"Conciliado (revisar)","Conciliado"))))</f>
        <v/>
      </c>
      <c r="M10" s="146" t="n"/>
    </row>
    <row r="11" ht="14.25" customHeight="1" s="100">
      <c r="A11" s="141" t="n"/>
      <c r="B11" s="141" t="n"/>
      <c r="C11" s="141" t="n"/>
      <c r="D11" s="142" t="n"/>
      <c r="E11" s="141" t="n"/>
      <c r="F11" s="141" t="n"/>
      <c r="G11" s="143" t="n"/>
      <c r="H11" s="141" t="n"/>
      <c r="I11" s="143" t="n"/>
      <c r="J11" s="143" t="n"/>
      <c r="K11" s="143">
        <f>IF(OR(G11="",I11=""),"",ROUND(G11-I11,2))</f>
        <v/>
      </c>
      <c r="L11" s="145">
        <f>IF(OR(B11="",G11=""),"No identificado",IF(AND(F11="Cancelado",H11="Cancelado"),"Conciliado",IF(OR(F11="Cancelado",H11="Cancelado"),"Conciliado (revisar)",IF(ABS(K11)&gt;Reglas!$C$7,"Conciliado (revisar)","Conciliado"))))</f>
        <v/>
      </c>
      <c r="M11" s="146" t="n"/>
    </row>
    <row r="12" ht="14.25" customHeight="1" s="100">
      <c r="A12" s="141" t="n"/>
      <c r="B12" s="141" t="n"/>
      <c r="C12" s="141" t="n"/>
      <c r="D12" s="142" t="n"/>
      <c r="E12" s="141" t="n"/>
      <c r="F12" s="141" t="n"/>
      <c r="G12" s="143" t="n"/>
      <c r="H12" s="141" t="n"/>
      <c r="I12" s="143" t="n"/>
      <c r="J12" s="143" t="n"/>
      <c r="K12" s="143">
        <f>IF(OR(G12="",I12=""),"",ROUND(G12-I12,2))</f>
        <v/>
      </c>
      <c r="L12" s="145">
        <f>IF(OR(B12="",G12=""),"No identificado",IF(AND(F12="Cancelado",H12="Cancelado"),"Conciliado",IF(OR(F12="Cancelado",H12="Cancelado"),"Conciliado (revisar)",IF(ABS(K12)&gt;Reglas!$C$7,"Conciliado (revisar)","Conciliado"))))</f>
        <v/>
      </c>
      <c r="M12" s="146" t="n"/>
    </row>
    <row r="13" ht="14.25" customHeight="1" s="100">
      <c r="A13" s="141" t="n"/>
      <c r="B13" s="141" t="n"/>
      <c r="C13" s="141" t="n"/>
      <c r="D13" s="142" t="n"/>
      <c r="E13" s="141" t="n"/>
      <c r="F13" s="141" t="n"/>
      <c r="G13" s="143" t="n"/>
      <c r="H13" s="141" t="n"/>
      <c r="I13" s="143" t="n"/>
      <c r="J13" s="143" t="n"/>
      <c r="K13" s="143">
        <f>IF(OR(G13="",I13=""),"",ROUND(G13-I13,2))</f>
        <v/>
      </c>
      <c r="L13" s="145">
        <f>IF(OR(B13="",G13=""),"No identificado",IF(AND(F13="Cancelado",H13="Cancelado"),"Conciliado",IF(OR(F13="Cancelado",H13="Cancelado"),"Conciliado (revisar)",IF(ABS(K13)&gt;Reglas!$C$7,"Conciliado (revisar)","Conciliado"))))</f>
        <v/>
      </c>
      <c r="M13" s="146" t="n"/>
    </row>
    <row r="14" ht="14.25" customHeight="1" s="100">
      <c r="A14" s="141" t="n"/>
      <c r="B14" s="141" t="n"/>
      <c r="C14" s="141" t="n"/>
      <c r="D14" s="142" t="n"/>
      <c r="E14" s="141" t="n"/>
      <c r="F14" s="141" t="n"/>
      <c r="G14" s="143" t="n"/>
      <c r="H14" s="141" t="n"/>
      <c r="I14" s="143" t="n"/>
      <c r="J14" s="143" t="n"/>
      <c r="K14" s="143">
        <f>IF(OR(G14="",I14=""),"",ROUND(G14-I14,2))</f>
        <v/>
      </c>
      <c r="L14" s="145">
        <f>IF(OR(B14="",G14=""),"No identificado",IF(AND(F14="Cancelado",H14="Cancelado"),"Conciliado",IF(OR(F14="Cancelado",H14="Cancelado"),"Conciliado (revisar)",IF(ABS(K14)&gt;Reglas!$C$7,"Conciliado (revisar)","Conciliado"))))</f>
        <v/>
      </c>
      <c r="M14" s="146" t="n"/>
    </row>
    <row r="15" ht="14.25" customHeight="1" s="100">
      <c r="A15" s="141" t="n"/>
      <c r="B15" s="141" t="n"/>
      <c r="C15" s="141" t="n"/>
      <c r="D15" s="142" t="n"/>
      <c r="E15" s="141" t="n"/>
      <c r="F15" s="141" t="n"/>
      <c r="G15" s="143" t="n"/>
      <c r="H15" s="141" t="n"/>
      <c r="I15" s="143" t="n"/>
      <c r="J15" s="143" t="n"/>
      <c r="K15" s="143">
        <f>IF(OR(G15="",I15=""),"",ROUND(G15-I15,2))</f>
        <v/>
      </c>
      <c r="L15" s="145">
        <f>IF(OR(B15="",G15=""),"No identificado",IF(AND(F15="Cancelado",H15="Cancelado"),"Conciliado",IF(OR(F15="Cancelado",H15="Cancelado"),"Conciliado (revisar)",IF(ABS(K15)&gt;Reglas!$C$7,"Conciliado (revisar)","Conciliado"))))</f>
        <v/>
      </c>
      <c r="M15" s="146" t="n"/>
    </row>
    <row r="16" ht="14.25" customHeight="1" s="100">
      <c r="A16" s="141" t="n"/>
      <c r="B16" s="141" t="n"/>
      <c r="C16" s="141" t="n"/>
      <c r="D16" s="142" t="n"/>
      <c r="E16" s="141" t="n"/>
      <c r="F16" s="141" t="n"/>
      <c r="G16" s="143" t="n"/>
      <c r="H16" s="141" t="n"/>
      <c r="I16" s="143" t="n"/>
      <c r="J16" s="143" t="n"/>
      <c r="K16" s="143">
        <f>IF(OR(G16="",I16=""),"",ROUND(G16-I16,2))</f>
        <v/>
      </c>
      <c r="L16" s="145">
        <f>IF(OR(B16="",G16=""),"No identificado",IF(AND(F16="Cancelado",H16="Cancelado"),"Conciliado",IF(OR(F16="Cancelado",H16="Cancelado"),"Conciliado (revisar)",IF(ABS(K16)&gt;Reglas!$C$7,"Conciliado (revisar)","Conciliado"))))</f>
        <v/>
      </c>
      <c r="M16" s="146" t="n"/>
    </row>
    <row r="17" ht="14.25" customHeight="1" s="100">
      <c r="A17" s="141" t="n"/>
      <c r="B17" s="141" t="n"/>
      <c r="C17" s="141" t="n"/>
      <c r="D17" s="142" t="n"/>
      <c r="E17" s="141" t="n"/>
      <c r="F17" s="141" t="n"/>
      <c r="G17" s="143" t="n"/>
      <c r="H17" s="141" t="n"/>
      <c r="I17" s="143" t="n"/>
      <c r="J17" s="143" t="n"/>
      <c r="K17" s="143">
        <f>IF(OR(G17="",I17=""),"",ROUND(G17-I17,2))</f>
        <v/>
      </c>
      <c r="L17" s="145">
        <f>IF(OR(B17="",G17=""),"No identificado",IF(AND(F17="Cancelado",H17="Cancelado"),"Conciliado",IF(OR(F17="Cancelado",H17="Cancelado"),"Conciliado (revisar)",IF(ABS(K17)&gt;Reglas!$C$7,"Conciliado (revisar)","Conciliado"))))</f>
        <v/>
      </c>
      <c r="M17" s="146" t="n"/>
    </row>
    <row r="18" ht="14.25" customHeight="1" s="100">
      <c r="A18" s="141" t="n"/>
      <c r="B18" s="141" t="n"/>
      <c r="C18" s="141" t="n"/>
      <c r="D18" s="142" t="n"/>
      <c r="E18" s="141" t="n"/>
      <c r="F18" s="141" t="n"/>
      <c r="G18" s="143" t="n"/>
      <c r="H18" s="141" t="n"/>
      <c r="I18" s="143" t="n"/>
      <c r="J18" s="143" t="n"/>
      <c r="K18" s="143">
        <f>IF(OR(G18="",I18=""),"",ROUND(G18-I18,2))</f>
        <v/>
      </c>
      <c r="L18" s="145">
        <f>IF(OR(B18="",G18=""),"No identificado",IF(AND(F18="Cancelado",H18="Cancelado"),"Conciliado",IF(OR(F18="Cancelado",H18="Cancelado"),"Conciliado (revisar)",IF(ABS(K18)&gt;Reglas!$C$7,"Conciliado (revisar)","Conciliado"))))</f>
        <v/>
      </c>
      <c r="M18" s="146" t="n"/>
    </row>
    <row r="19" ht="14.25" customHeight="1" s="100">
      <c r="A19" s="141" t="n"/>
      <c r="B19" s="141" t="n"/>
      <c r="C19" s="141" t="n"/>
      <c r="D19" s="142" t="n"/>
      <c r="E19" s="141" t="n"/>
      <c r="F19" s="141" t="n"/>
      <c r="G19" s="143" t="n"/>
      <c r="H19" s="141" t="n"/>
      <c r="I19" s="143" t="n"/>
      <c r="J19" s="143" t="n"/>
      <c r="K19" s="143">
        <f>IF(OR(G19="",I19=""),"",ROUND(G19-I19,2))</f>
        <v/>
      </c>
      <c r="L19" s="145">
        <f>IF(OR(B19="",G19=""),"No identificado",IF(AND(F19="Cancelado",H19="Cancelado"),"Conciliado",IF(OR(F19="Cancelado",H19="Cancelado"),"Conciliado (revisar)",IF(ABS(K19)&gt;Reglas!$C$7,"Conciliado (revisar)","Conciliado"))))</f>
        <v/>
      </c>
      <c r="M19" s="146" t="n"/>
    </row>
    <row r="20" ht="14.25" customHeight="1" s="100">
      <c r="A20" s="141" t="n"/>
      <c r="B20" s="141" t="n"/>
      <c r="C20" s="141" t="n"/>
      <c r="D20" s="142" t="n"/>
      <c r="E20" s="141" t="n"/>
      <c r="F20" s="141" t="n"/>
      <c r="G20" s="143" t="n"/>
      <c r="H20" s="141" t="n"/>
      <c r="I20" s="143" t="n"/>
      <c r="J20" s="143" t="n"/>
      <c r="K20" s="143">
        <f>IF(OR(G20="",I20=""),"",ROUND(G20-I20,2))</f>
        <v/>
      </c>
      <c r="L20" s="145">
        <f>IF(OR(B20="",G20=""),"No identificado",IF(AND(F20="Cancelado",H20="Cancelado"),"Conciliado",IF(OR(F20="Cancelado",H20="Cancelado"),"Conciliado (revisar)",IF(ABS(K20)&gt;Reglas!$C$7,"Conciliado (revisar)","Conciliado"))))</f>
        <v/>
      </c>
      <c r="M20" s="146" t="n"/>
    </row>
    <row r="21" ht="14.25" customHeight="1" s="100">
      <c r="A21" s="141" t="n"/>
      <c r="B21" s="141" t="n"/>
      <c r="C21" s="141" t="n"/>
      <c r="D21" s="142" t="n"/>
      <c r="E21" s="141" t="n"/>
      <c r="F21" s="141" t="n"/>
      <c r="G21" s="143" t="n"/>
      <c r="H21" s="141" t="n"/>
      <c r="I21" s="143" t="n"/>
      <c r="J21" s="143" t="n"/>
      <c r="K21" s="143">
        <f>IF(OR(G21="",I21=""),"",ROUND(G21-I21,2))</f>
        <v/>
      </c>
      <c r="L21" s="145">
        <f>IF(OR(B21="",G21=""),"No identificado",IF(AND(F21="Cancelado",H21="Cancelado"),"Conciliado",IF(OR(F21="Cancelado",H21="Cancelado"),"Conciliado (revisar)",IF(ABS(K21)&gt;Reglas!$C$7,"Conciliado (revisar)","Conciliado"))))</f>
        <v/>
      </c>
      <c r="M21" s="146" t="n"/>
    </row>
    <row r="22" ht="14.25" customHeight="1" s="100">
      <c r="A22" s="141" t="n"/>
      <c r="B22" s="141" t="n"/>
      <c r="C22" s="141" t="n"/>
      <c r="D22" s="142" t="n"/>
      <c r="E22" s="141" t="n"/>
      <c r="F22" s="141" t="n"/>
      <c r="G22" s="143" t="n"/>
      <c r="H22" s="141" t="n"/>
      <c r="I22" s="143" t="n"/>
      <c r="J22" s="143" t="n"/>
      <c r="K22" s="143">
        <f>IF(OR(G22="",I22=""),"",ROUND(G22-I22,2))</f>
        <v/>
      </c>
      <c r="L22" s="145">
        <f>IF(OR(B22="",G22=""),"No identificado",IF(AND(F22="Cancelado",H22="Cancelado"),"Conciliado",IF(OR(F22="Cancelado",H22="Cancelado"),"Conciliado (revisar)",IF(ABS(K22)&gt;Reglas!$C$7,"Conciliado (revisar)","Conciliado"))))</f>
        <v/>
      </c>
      <c r="M22" s="146" t="n"/>
    </row>
    <row r="23" ht="14.25" customHeight="1" s="100">
      <c r="A23" s="141" t="n"/>
      <c r="B23" s="141" t="n"/>
      <c r="C23" s="141" t="n"/>
      <c r="D23" s="142" t="n"/>
      <c r="E23" s="141" t="n"/>
      <c r="F23" s="141" t="n"/>
      <c r="G23" s="143" t="n"/>
      <c r="H23" s="141" t="n"/>
      <c r="I23" s="143" t="n"/>
      <c r="J23" s="143" t="n"/>
      <c r="K23" s="143">
        <f>IF(OR(G23="",I23=""),"",ROUND(G23-I23,2))</f>
        <v/>
      </c>
      <c r="L23" s="145">
        <f>IF(OR(B23="",G23=""),"No identificado",IF(AND(F23="Cancelado",H23="Cancelado"),"Conciliado",IF(OR(F23="Cancelado",H23="Cancelado"),"Conciliado (revisar)",IF(ABS(K23)&gt;Reglas!$C$7,"Conciliado (revisar)","Conciliado"))))</f>
        <v/>
      </c>
      <c r="M23" s="146" t="n"/>
    </row>
    <row r="24" ht="14.25" customHeight="1" s="100">
      <c r="A24" s="141" t="n"/>
      <c r="B24" s="141" t="n"/>
      <c r="C24" s="141" t="n"/>
      <c r="D24" s="142" t="n"/>
      <c r="E24" s="141" t="n"/>
      <c r="F24" s="141" t="n"/>
      <c r="G24" s="143" t="n"/>
      <c r="H24" s="141" t="n"/>
      <c r="I24" s="143" t="n"/>
      <c r="J24" s="143" t="n"/>
      <c r="K24" s="143">
        <f>IF(OR(G24="",I24=""),"",ROUND(G24-I24,2))</f>
        <v/>
      </c>
      <c r="L24" s="145">
        <f>IF(OR(B24="",G24=""),"No identificado",IF(AND(F24="Cancelado",H24="Cancelado"),"Conciliado",IF(OR(F24="Cancelado",H24="Cancelado"),"Conciliado (revisar)",IF(ABS(K24)&gt;Reglas!$C$7,"Conciliado (revisar)","Conciliado"))))</f>
        <v/>
      </c>
      <c r="M24" s="146" t="n"/>
    </row>
    <row r="25" ht="14.25" customHeight="1" s="100">
      <c r="A25" s="141" t="n"/>
      <c r="B25" s="141" t="n"/>
      <c r="C25" s="141" t="n"/>
      <c r="D25" s="142" t="n"/>
      <c r="E25" s="141" t="n"/>
      <c r="F25" s="141" t="n"/>
      <c r="G25" s="143" t="n"/>
      <c r="H25" s="141" t="n"/>
      <c r="I25" s="143" t="n"/>
      <c r="J25" s="143" t="n"/>
      <c r="K25" s="143">
        <f>IF(OR(G25="",I25=""),"",ROUND(G25-I25,2))</f>
        <v/>
      </c>
      <c r="L25" s="145">
        <f>IF(OR(B25="",G25=""),"No identificado",IF(AND(F25="Cancelado",H25="Cancelado"),"Conciliado",IF(OR(F25="Cancelado",H25="Cancelado"),"Conciliado (revisar)",IF(ABS(K25)&gt;Reglas!$C$7,"Conciliado (revisar)","Conciliado"))))</f>
        <v/>
      </c>
      <c r="M25" s="146" t="n"/>
    </row>
    <row r="26" ht="14.25" customHeight="1" s="100">
      <c r="A26" s="141" t="n"/>
      <c r="B26" s="141" t="n"/>
      <c r="C26" s="141" t="n"/>
      <c r="D26" s="142" t="n"/>
      <c r="E26" s="141" t="n"/>
      <c r="F26" s="141" t="n"/>
      <c r="G26" s="143" t="n"/>
      <c r="H26" s="141" t="n"/>
      <c r="I26" s="143" t="n"/>
      <c r="J26" s="143" t="n"/>
      <c r="K26" s="143">
        <f>IF(OR(G26="",I26=""),"",ROUND(G26-I26,2))</f>
        <v/>
      </c>
      <c r="L26" s="145">
        <f>IF(OR(B26="",G26=""),"No identificado",IF(AND(F26="Cancelado",H26="Cancelado"),"Conciliado",IF(OR(F26="Cancelado",H26="Cancelado"),"Conciliado (revisar)",IF(ABS(K26)&gt;Reglas!$C$7,"Conciliado (revisar)","Conciliado"))))</f>
        <v/>
      </c>
      <c r="M26" s="146" t="n"/>
    </row>
    <row r="27" ht="14.25" customHeight="1" s="100">
      <c r="A27" s="141" t="n"/>
      <c r="B27" s="141" t="n"/>
      <c r="C27" s="141" t="n"/>
      <c r="D27" s="142" t="n"/>
      <c r="E27" s="141" t="n"/>
      <c r="F27" s="141" t="n"/>
      <c r="G27" s="143" t="n"/>
      <c r="H27" s="141" t="n"/>
      <c r="I27" s="143" t="n"/>
      <c r="J27" s="143" t="n"/>
      <c r="K27" s="143">
        <f>IF(OR(G27="",I27=""),"",ROUND(G27-I27,2))</f>
        <v/>
      </c>
      <c r="L27" s="145">
        <f>IF(OR(B27="",G27=""),"No identificado",IF(AND(F27="Cancelado",H27="Cancelado"),"Conciliado",IF(OR(F27="Cancelado",H27="Cancelado"),"Conciliado (revisar)",IF(ABS(K27)&gt;Reglas!$C$7,"Conciliado (revisar)","Conciliado"))))</f>
        <v/>
      </c>
      <c r="M27" s="146" t="n"/>
    </row>
    <row r="28" ht="14.25" customHeight="1" s="100">
      <c r="A28" s="141" t="n"/>
      <c r="B28" s="141" t="n"/>
      <c r="C28" s="141" t="n"/>
      <c r="D28" s="142" t="n"/>
      <c r="E28" s="141" t="n"/>
      <c r="F28" s="141" t="n"/>
      <c r="G28" s="143" t="n"/>
      <c r="H28" s="141" t="n"/>
      <c r="I28" s="143" t="n"/>
      <c r="J28" s="143" t="n"/>
      <c r="K28" s="143">
        <f>IF(OR(G28="",I28=""),"",ROUND(G28-I28,2))</f>
        <v/>
      </c>
      <c r="L28" s="145">
        <f>IF(OR(B28="",G28=""),"No identificado",IF(AND(F28="Cancelado",H28="Cancelado"),"Conciliado",IF(OR(F28="Cancelado",H28="Cancelado"),"Conciliado (revisar)",IF(ABS(K28)&gt;Reglas!$C$7,"Conciliado (revisar)","Conciliado"))))</f>
        <v/>
      </c>
      <c r="M28" s="146" t="n"/>
    </row>
    <row r="29" ht="14.25" customHeight="1" s="100">
      <c r="A29" s="141" t="n"/>
      <c r="B29" s="141" t="n"/>
      <c r="C29" s="141" t="n"/>
      <c r="D29" s="142" t="n"/>
      <c r="E29" s="141" t="n"/>
      <c r="F29" s="141" t="n"/>
      <c r="G29" s="143" t="n"/>
      <c r="H29" s="141" t="n"/>
      <c r="I29" s="143" t="n"/>
      <c r="J29" s="143" t="n"/>
      <c r="K29" s="143">
        <f>IF(OR(G29="",I29=""),"",ROUND(G29-I29,2))</f>
        <v/>
      </c>
      <c r="L29" s="145">
        <f>IF(OR(B29="",G29=""),"No identificado",IF(AND(F29="Cancelado",H29="Cancelado"),"Conciliado",IF(OR(F29="Cancelado",H29="Cancelado"),"Conciliado (revisar)",IF(ABS(K29)&gt;Reglas!$C$7,"Conciliado (revisar)","Conciliado"))))</f>
        <v/>
      </c>
      <c r="M29" s="146" t="n"/>
    </row>
    <row r="30" ht="14.25" customHeight="1" s="100">
      <c r="A30" s="141" t="n"/>
      <c r="B30" s="141" t="n"/>
      <c r="C30" s="141" t="n"/>
      <c r="D30" s="142" t="n"/>
      <c r="E30" s="141" t="n"/>
      <c r="F30" s="141" t="n"/>
      <c r="G30" s="143" t="n"/>
      <c r="H30" s="141" t="n"/>
      <c r="I30" s="143" t="n"/>
      <c r="J30" s="143" t="n"/>
      <c r="K30" s="143">
        <f>IF(OR(G30="",I30=""),"",ROUND(G30-I30,2))</f>
        <v/>
      </c>
      <c r="L30" s="145">
        <f>IF(OR(B30="",G30=""),"No identificado",IF(AND(F30="Cancelado",H30="Cancelado"),"Conciliado",IF(OR(F30="Cancelado",H30="Cancelado"),"Conciliado (revisar)",IF(ABS(K30)&gt;Reglas!$C$7,"Conciliado (revisar)","Conciliado"))))</f>
        <v/>
      </c>
      <c r="M30" s="146" t="n"/>
    </row>
    <row r="31" ht="14.25" customHeight="1" s="100">
      <c r="A31" s="141" t="n"/>
      <c r="B31" s="141" t="n"/>
      <c r="C31" s="141" t="n"/>
      <c r="D31" s="142" t="n"/>
      <c r="E31" s="141" t="n"/>
      <c r="F31" s="141" t="n"/>
      <c r="G31" s="143" t="n"/>
      <c r="H31" s="141" t="n"/>
      <c r="I31" s="143" t="n"/>
      <c r="J31" s="143" t="n"/>
      <c r="K31" s="143">
        <f>IF(OR(G31="",I31=""),"",ROUND(G31-I31,2))</f>
        <v/>
      </c>
      <c r="L31" s="145">
        <f>IF(OR(B31="",G31=""),"No identificado",IF(AND(F31="Cancelado",H31="Cancelado"),"Conciliado",IF(OR(F31="Cancelado",H31="Cancelado"),"Conciliado (revisar)",IF(ABS(K31)&gt;Reglas!$C$7,"Conciliado (revisar)","Conciliado"))))</f>
        <v/>
      </c>
      <c r="M31" s="146" t="n"/>
    </row>
    <row r="32" ht="14.25" customHeight="1" s="100">
      <c r="A32" s="141" t="n"/>
      <c r="B32" s="141" t="n"/>
      <c r="C32" s="141" t="n"/>
      <c r="D32" s="142" t="n"/>
      <c r="E32" s="141" t="n"/>
      <c r="F32" s="141" t="n"/>
      <c r="G32" s="143" t="n"/>
      <c r="H32" s="141" t="n"/>
      <c r="I32" s="143" t="n"/>
      <c r="J32" s="143" t="n"/>
      <c r="K32" s="143">
        <f>IF(OR(G32="",I32=""),"",ROUND(G32-I32,2))</f>
        <v/>
      </c>
      <c r="L32" s="145">
        <f>IF(OR(B32="",G32=""),"No identificado",IF(AND(F32="Cancelado",H32="Cancelado"),"Conciliado",IF(OR(F32="Cancelado",H32="Cancelado"),"Conciliado (revisar)",IF(ABS(K32)&gt;Reglas!$C$7,"Conciliado (revisar)","Conciliado"))))</f>
        <v/>
      </c>
      <c r="M32" s="146" t="n"/>
    </row>
    <row r="33" ht="14.25" customHeight="1" s="100">
      <c r="A33" s="141" t="n"/>
      <c r="B33" s="141" t="n"/>
      <c r="C33" s="141" t="n"/>
      <c r="D33" s="142" t="n"/>
      <c r="E33" s="141" t="n"/>
      <c r="F33" s="141" t="n"/>
      <c r="G33" s="143" t="n"/>
      <c r="H33" s="141" t="n"/>
      <c r="I33" s="143" t="n"/>
      <c r="J33" s="143" t="n"/>
      <c r="K33" s="143">
        <f>IF(OR(G33="",I33=""),"",ROUND(G33-I33,2))</f>
        <v/>
      </c>
      <c r="L33" s="145">
        <f>IF(OR(B33="",G33=""),"No identificado",IF(AND(F33="Cancelado",H33="Cancelado"),"Conciliado",IF(OR(F33="Cancelado",H33="Cancelado"),"Conciliado (revisar)",IF(ABS(K33)&gt;Reglas!$C$7,"Conciliado (revisar)","Conciliado"))))</f>
        <v/>
      </c>
      <c r="M33" s="146" t="n"/>
    </row>
    <row r="34" ht="14.25" customHeight="1" s="100">
      <c r="A34" s="141" t="n"/>
      <c r="B34" s="141" t="n"/>
      <c r="C34" s="141" t="n"/>
      <c r="D34" s="142" t="n"/>
      <c r="E34" s="141" t="n"/>
      <c r="F34" s="141" t="n"/>
      <c r="G34" s="143" t="n"/>
      <c r="H34" s="141" t="n"/>
      <c r="I34" s="143" t="n"/>
      <c r="J34" s="143" t="n"/>
      <c r="K34" s="143">
        <f>IF(OR(G34="",I34=""),"",ROUND(G34-I34,2))</f>
        <v/>
      </c>
      <c r="L34" s="145">
        <f>IF(OR(B34="",G34=""),"No identificado",IF(AND(F34="Cancelado",H34="Cancelado"),"Conciliado",IF(OR(F34="Cancelado",H34="Cancelado"),"Conciliado (revisar)",IF(ABS(K34)&gt;Reglas!$C$7,"Conciliado (revisar)","Conciliado"))))</f>
        <v/>
      </c>
      <c r="M34" s="146" t="n"/>
    </row>
    <row r="35" ht="14.25" customHeight="1" s="100">
      <c r="A35" s="141" t="n"/>
      <c r="B35" s="141" t="n"/>
      <c r="C35" s="141" t="n"/>
      <c r="D35" s="142" t="n"/>
      <c r="E35" s="141" t="n"/>
      <c r="F35" s="141" t="n"/>
      <c r="G35" s="143" t="n"/>
      <c r="H35" s="141" t="n"/>
      <c r="I35" s="143" t="n"/>
      <c r="J35" s="143" t="n"/>
      <c r="K35" s="143">
        <f>IF(OR(G35="",I35=""),"",ROUND(G35-I35,2))</f>
        <v/>
      </c>
      <c r="L35" s="145">
        <f>IF(OR(B35="",G35=""),"No identificado",IF(AND(F35="Cancelado",H35="Cancelado"),"Conciliado",IF(OR(F35="Cancelado",H35="Cancelado"),"Conciliado (revisar)",IF(ABS(K35)&gt;Reglas!$C$7,"Conciliado (revisar)","Conciliado"))))</f>
        <v/>
      </c>
      <c r="M35" s="146" t="n"/>
    </row>
    <row r="36" ht="14.25" customHeight="1" s="100">
      <c r="A36" s="141" t="n"/>
      <c r="B36" s="141" t="n"/>
      <c r="C36" s="141" t="n"/>
      <c r="D36" s="142" t="n"/>
      <c r="E36" s="141" t="n"/>
      <c r="F36" s="141" t="n"/>
      <c r="G36" s="143" t="n"/>
      <c r="H36" s="141" t="n"/>
      <c r="I36" s="143" t="n"/>
      <c r="J36" s="143" t="n"/>
      <c r="K36" s="143">
        <f>IF(OR(G36="",I36=""),"",ROUND(G36-I36,2))</f>
        <v/>
      </c>
      <c r="L36" s="145">
        <f>IF(OR(B36="",G36=""),"No identificado",IF(AND(F36="Cancelado",H36="Cancelado"),"Conciliado",IF(OR(F36="Cancelado",H36="Cancelado"),"Conciliado (revisar)",IF(ABS(K36)&gt;Reglas!$C$7,"Conciliado (revisar)","Conciliado"))))</f>
        <v/>
      </c>
      <c r="M36" s="146" t="n"/>
    </row>
    <row r="37" ht="14.25" customHeight="1" s="100">
      <c r="A37" s="141" t="n"/>
      <c r="B37" s="141" t="n"/>
      <c r="C37" s="141" t="n"/>
      <c r="D37" s="142" t="n"/>
      <c r="E37" s="141" t="n"/>
      <c r="F37" s="141" t="n"/>
      <c r="G37" s="143" t="n"/>
      <c r="H37" s="141" t="n"/>
      <c r="I37" s="143" t="n"/>
      <c r="J37" s="143" t="n"/>
      <c r="K37" s="143">
        <f>IF(OR(G37="",I37=""),"",ROUND(G37-I37,2))</f>
        <v/>
      </c>
      <c r="L37" s="145">
        <f>IF(OR(B37="",G37=""),"No identificado",IF(AND(F37="Cancelado",H37="Cancelado"),"Conciliado",IF(OR(F37="Cancelado",H37="Cancelado"),"Conciliado (revisar)",IF(ABS(K37)&gt;Reglas!$C$7,"Conciliado (revisar)","Conciliado"))))</f>
        <v/>
      </c>
      <c r="M37" s="146" t="n"/>
    </row>
    <row r="38" ht="14.25" customHeight="1" s="100">
      <c r="A38" s="141" t="n"/>
      <c r="B38" s="141" t="n"/>
      <c r="C38" s="141" t="n"/>
      <c r="D38" s="142" t="n"/>
      <c r="E38" s="141" t="n"/>
      <c r="F38" s="141" t="n"/>
      <c r="G38" s="143" t="n"/>
      <c r="H38" s="141" t="n"/>
      <c r="I38" s="143" t="n"/>
      <c r="J38" s="143" t="n"/>
      <c r="K38" s="143">
        <f>IF(OR(G38="",I38=""),"",ROUND(G38-I38,2))</f>
        <v/>
      </c>
      <c r="L38" s="145">
        <f>IF(OR(B38="",G38=""),"No identificado",IF(AND(F38="Cancelado",H38="Cancelado"),"Conciliado",IF(OR(F38="Cancelado",H38="Cancelado"),"Conciliado (revisar)",IF(ABS(K38)&gt;Reglas!$C$7,"Conciliado (revisar)","Conciliado"))))</f>
        <v/>
      </c>
      <c r="M38" s="146" t="n"/>
    </row>
    <row r="39" ht="14.25" customHeight="1" s="100">
      <c r="A39" s="141" t="n"/>
      <c r="B39" s="141" t="n"/>
      <c r="C39" s="141" t="n"/>
      <c r="D39" s="142" t="n"/>
      <c r="E39" s="141" t="n"/>
      <c r="F39" s="141" t="n"/>
      <c r="G39" s="143" t="n"/>
      <c r="H39" s="141" t="n"/>
      <c r="I39" s="143" t="n"/>
      <c r="J39" s="143" t="n"/>
      <c r="K39" s="143">
        <f>IF(OR(G39="",I39=""),"",ROUND(G39-I39,2))</f>
        <v/>
      </c>
      <c r="L39" s="145">
        <f>IF(OR(B39="",G39=""),"No identificado",IF(AND(F39="Cancelado",H39="Cancelado"),"Conciliado",IF(OR(F39="Cancelado",H39="Cancelado"),"Conciliado (revisar)",IF(ABS(K39)&gt;Reglas!$C$7,"Conciliado (revisar)","Conciliado"))))</f>
        <v/>
      </c>
      <c r="M39" s="146" t="n"/>
    </row>
    <row r="40" ht="14.25" customHeight="1" s="100">
      <c r="A40" s="141" t="n"/>
      <c r="B40" s="141" t="n"/>
      <c r="C40" s="141" t="n"/>
      <c r="D40" s="142" t="n"/>
      <c r="E40" s="141" t="n"/>
      <c r="F40" s="141" t="n"/>
      <c r="G40" s="143" t="n"/>
      <c r="H40" s="141" t="n"/>
      <c r="I40" s="143" t="n"/>
      <c r="J40" s="143" t="n"/>
      <c r="K40" s="143">
        <f>IF(OR(G40="",I40=""),"",ROUND(G40-I40,2))</f>
        <v/>
      </c>
      <c r="L40" s="145">
        <f>IF(OR(B40="",G40=""),"No identificado",IF(AND(F40="Cancelado",H40="Cancelado"),"Conciliado",IF(OR(F40="Cancelado",H40="Cancelado"),"Conciliado (revisar)",IF(ABS(K40)&gt;Reglas!$C$7,"Conciliado (revisar)","Conciliado"))))</f>
        <v/>
      </c>
      <c r="M40" s="146" t="n"/>
    </row>
    <row r="41" ht="14.25" customHeight="1" s="100">
      <c r="A41" s="141" t="n"/>
      <c r="B41" s="141" t="n"/>
      <c r="C41" s="141" t="n"/>
      <c r="D41" s="142" t="n"/>
      <c r="E41" s="141" t="n"/>
      <c r="F41" s="141" t="n"/>
      <c r="G41" s="143" t="n"/>
      <c r="H41" s="141" t="n"/>
      <c r="I41" s="143" t="n"/>
      <c r="J41" s="143" t="n"/>
      <c r="K41" s="143">
        <f>IF(OR(G41="",I41=""),"",ROUND(G41-I41,2))</f>
        <v/>
      </c>
      <c r="L41" s="145">
        <f>IF(OR(B41="",G41=""),"No identificado",IF(AND(F41="Cancelado",H41="Cancelado"),"Conciliado",IF(OR(F41="Cancelado",H41="Cancelado"),"Conciliado (revisar)",IF(ABS(K41)&gt;Reglas!$C$7,"Conciliado (revisar)","Conciliado"))))</f>
        <v/>
      </c>
      <c r="M41" s="146" t="n"/>
    </row>
    <row r="42" ht="14.25" customHeight="1" s="100">
      <c r="A42" s="141" t="n"/>
      <c r="B42" s="141" t="n"/>
      <c r="C42" s="141" t="n"/>
      <c r="D42" s="142" t="n"/>
      <c r="E42" s="141" t="n"/>
      <c r="F42" s="141" t="n"/>
      <c r="G42" s="143" t="n"/>
      <c r="H42" s="141" t="n"/>
      <c r="I42" s="143" t="n"/>
      <c r="J42" s="143" t="n"/>
      <c r="K42" s="143">
        <f>IF(OR(G42="",I42=""),"",ROUND(G42-I42,2))</f>
        <v/>
      </c>
      <c r="L42" s="145">
        <f>IF(OR(B42="",G42=""),"No identificado",IF(AND(F42="Cancelado",H42="Cancelado"),"Conciliado",IF(OR(F42="Cancelado",H42="Cancelado"),"Conciliado (revisar)",IF(ABS(K42)&gt;Reglas!$C$7,"Conciliado (revisar)","Conciliado"))))</f>
        <v/>
      </c>
      <c r="M42" s="146" t="n"/>
    </row>
    <row r="43" ht="14.25" customHeight="1" s="100">
      <c r="A43" s="141" t="n"/>
      <c r="B43" s="141" t="n"/>
      <c r="C43" s="141" t="n"/>
      <c r="D43" s="142" t="n"/>
      <c r="E43" s="141" t="n"/>
      <c r="F43" s="141" t="n"/>
      <c r="G43" s="143" t="n"/>
      <c r="H43" s="141" t="n"/>
      <c r="I43" s="143" t="n"/>
      <c r="J43" s="143" t="n"/>
      <c r="K43" s="143">
        <f>IF(OR(G43="",I43=""),"",ROUND(G43-I43,2))</f>
        <v/>
      </c>
      <c r="L43" s="145">
        <f>IF(OR(B43="",G43=""),"No identificado",IF(AND(F43="Cancelado",H43="Cancelado"),"Conciliado",IF(OR(F43="Cancelado",H43="Cancelado"),"Conciliado (revisar)",IF(ABS(K43)&gt;Reglas!$C$7,"Conciliado (revisar)","Conciliado"))))</f>
        <v/>
      </c>
      <c r="M43" s="146" t="n"/>
    </row>
    <row r="44" ht="14.25" customHeight="1" s="100">
      <c r="A44" s="141" t="n"/>
      <c r="B44" s="141" t="n"/>
      <c r="C44" s="141" t="n"/>
      <c r="D44" s="142" t="n"/>
      <c r="E44" s="141" t="n"/>
      <c r="F44" s="141" t="n"/>
      <c r="G44" s="143" t="n"/>
      <c r="H44" s="141" t="n"/>
      <c r="I44" s="143" t="n"/>
      <c r="J44" s="143" t="n"/>
      <c r="K44" s="143">
        <f>IF(OR(G44="",I44=""),"",ROUND(G44-I44,2))</f>
        <v/>
      </c>
      <c r="L44" s="145">
        <f>IF(OR(B44="",G44=""),"No identificado",IF(AND(F44="Cancelado",H44="Cancelado"),"Conciliado",IF(OR(F44="Cancelado",H44="Cancelado"),"Conciliado (revisar)",IF(ABS(K44)&gt;Reglas!$C$7,"Conciliado (revisar)","Conciliado"))))</f>
        <v/>
      </c>
      <c r="M44" s="146" t="n"/>
    </row>
    <row r="45" ht="14.25" customHeight="1" s="100">
      <c r="A45" s="141" t="n"/>
      <c r="B45" s="141" t="n"/>
      <c r="C45" s="141" t="n"/>
      <c r="D45" s="142" t="n"/>
      <c r="E45" s="141" t="n"/>
      <c r="F45" s="141" t="n"/>
      <c r="G45" s="143" t="n"/>
      <c r="H45" s="141" t="n"/>
      <c r="I45" s="143" t="n"/>
      <c r="J45" s="143" t="n"/>
      <c r="K45" s="143">
        <f>IF(OR(G45="",I45=""),"",ROUND(G45-I45,2))</f>
        <v/>
      </c>
      <c r="L45" s="145">
        <f>IF(OR(B45="",G45=""),"No identificado",IF(AND(F45="Cancelado",H45="Cancelado"),"Conciliado",IF(OR(F45="Cancelado",H45="Cancelado"),"Conciliado (revisar)",IF(ABS(K45)&gt;Reglas!$C$7,"Conciliado (revisar)","Conciliado"))))</f>
        <v/>
      </c>
      <c r="M45" s="146" t="n"/>
    </row>
    <row r="46" ht="14.25" customHeight="1" s="100">
      <c r="A46" s="141" t="n"/>
      <c r="B46" s="141" t="n"/>
      <c r="C46" s="141" t="n"/>
      <c r="D46" s="142" t="n"/>
      <c r="E46" s="141" t="n"/>
      <c r="F46" s="141" t="n"/>
      <c r="G46" s="143" t="n"/>
      <c r="H46" s="141" t="n"/>
      <c r="I46" s="143" t="n"/>
      <c r="J46" s="143" t="n"/>
      <c r="K46" s="143">
        <f>IF(OR(G46="",I46=""),"",ROUND(G46-I46,2))</f>
        <v/>
      </c>
      <c r="L46" s="145">
        <f>IF(OR(B46="",G46=""),"No identificado",IF(AND(F46="Cancelado",H46="Cancelado"),"Conciliado",IF(OR(F46="Cancelado",H46="Cancelado"),"Conciliado (revisar)",IF(ABS(K46)&gt;Reglas!$C$7,"Conciliado (revisar)","Conciliado"))))</f>
        <v/>
      </c>
      <c r="M46" s="146" t="n"/>
    </row>
    <row r="47" ht="14.25" customHeight="1" s="100">
      <c r="A47" s="141" t="n"/>
      <c r="B47" s="141" t="n"/>
      <c r="C47" s="141" t="n"/>
      <c r="D47" s="142" t="n"/>
      <c r="E47" s="141" t="n"/>
      <c r="F47" s="141" t="n"/>
      <c r="G47" s="143" t="n"/>
      <c r="H47" s="141" t="n"/>
      <c r="I47" s="143" t="n"/>
      <c r="J47" s="143" t="n"/>
      <c r="K47" s="143">
        <f>IF(OR(G47="",I47=""),"",ROUND(G47-I47,2))</f>
        <v/>
      </c>
      <c r="L47" s="145">
        <f>IF(OR(B47="",G47=""),"No identificado",IF(AND(F47="Cancelado",H47="Cancelado"),"Conciliado",IF(OR(F47="Cancelado",H47="Cancelado"),"Conciliado (revisar)",IF(ABS(K47)&gt;Reglas!$C$7,"Conciliado (revisar)","Conciliado"))))</f>
        <v/>
      </c>
      <c r="M47" s="146" t="n"/>
    </row>
    <row r="48" ht="14.25" customHeight="1" s="100">
      <c r="A48" s="141" t="n"/>
      <c r="B48" s="141" t="n"/>
      <c r="C48" s="141" t="n"/>
      <c r="D48" s="142" t="n"/>
      <c r="E48" s="141" t="n"/>
      <c r="F48" s="141" t="n"/>
      <c r="G48" s="143" t="n"/>
      <c r="H48" s="141" t="n"/>
      <c r="I48" s="143" t="n"/>
      <c r="J48" s="143" t="n"/>
      <c r="K48" s="143">
        <f>IF(OR(G48="",I48=""),"",ROUND(G48-I48,2))</f>
        <v/>
      </c>
      <c r="L48" s="145">
        <f>IF(OR(B48="",G48=""),"No identificado",IF(AND(F48="Cancelado",H48="Cancelado"),"Conciliado",IF(OR(F48="Cancelado",H48="Cancelado"),"Conciliado (revisar)",IF(ABS(K48)&gt;Reglas!$C$7,"Conciliado (revisar)","Conciliado"))))</f>
        <v/>
      </c>
      <c r="M48" s="146" t="n"/>
    </row>
    <row r="49" ht="14.25" customHeight="1" s="100">
      <c r="A49" s="141" t="n"/>
      <c r="B49" s="141" t="n"/>
      <c r="C49" s="141" t="n"/>
      <c r="D49" s="142" t="n"/>
      <c r="E49" s="141" t="n"/>
      <c r="F49" s="141" t="n"/>
      <c r="G49" s="143" t="n"/>
      <c r="H49" s="141" t="n"/>
      <c r="I49" s="143" t="n"/>
      <c r="J49" s="143" t="n"/>
      <c r="K49" s="143">
        <f>IF(OR(G49="",I49=""),"",ROUND(G49-I49,2))</f>
        <v/>
      </c>
      <c r="L49" s="145">
        <f>IF(OR(B49="",G49=""),"No identificado",IF(AND(F49="Cancelado",H49="Cancelado"),"Conciliado",IF(OR(F49="Cancelado",H49="Cancelado"),"Conciliado (revisar)",IF(ABS(K49)&gt;Reglas!$C$7,"Conciliado (revisar)","Conciliado"))))</f>
        <v/>
      </c>
      <c r="M49" s="146" t="n"/>
    </row>
    <row r="50" ht="14.25" customHeight="1" s="100">
      <c r="A50" s="141" t="n"/>
      <c r="B50" s="141" t="n"/>
      <c r="C50" s="141" t="n"/>
      <c r="D50" s="142" t="n"/>
      <c r="E50" s="141" t="n"/>
      <c r="F50" s="141" t="n"/>
      <c r="G50" s="143" t="n"/>
      <c r="H50" s="141" t="n"/>
      <c r="I50" s="143" t="n"/>
      <c r="J50" s="143" t="n"/>
      <c r="K50" s="143">
        <f>IF(OR(G50="",I50=""),"",ROUND(G50-I50,2))</f>
        <v/>
      </c>
      <c r="L50" s="145">
        <f>IF(OR(B50="",G50=""),"No identificado",IF(AND(F50="Cancelado",H50="Cancelado"),"Conciliado",IF(OR(F50="Cancelado",H50="Cancelado"),"Conciliado (revisar)",IF(ABS(K50)&gt;Reglas!$C$7,"Conciliado (revisar)","Conciliado"))))</f>
        <v/>
      </c>
      <c r="M50" s="146" t="n"/>
    </row>
    <row r="51" ht="14.25" customHeight="1" s="100">
      <c r="A51" s="141" t="n"/>
      <c r="B51" s="141" t="n"/>
      <c r="C51" s="141" t="n"/>
      <c r="D51" s="142" t="n"/>
      <c r="E51" s="141" t="n"/>
      <c r="F51" s="141" t="n"/>
      <c r="G51" s="143" t="n"/>
      <c r="H51" s="141" t="n"/>
      <c r="I51" s="143" t="n"/>
      <c r="J51" s="143" t="n"/>
      <c r="K51" s="143">
        <f>IF(OR(G51="",I51=""),"",ROUND(G51-I51,2))</f>
        <v/>
      </c>
      <c r="L51" s="145">
        <f>IF(OR(B51="",G51=""),"No identificado",IF(AND(F51="Cancelado",H51="Cancelado"),"Conciliado",IF(OR(F51="Cancelado",H51="Cancelado"),"Conciliado (revisar)",IF(ABS(K51)&gt;Reglas!$C$7,"Conciliado (revisar)","Conciliado"))))</f>
        <v/>
      </c>
      <c r="M51" s="146" t="n"/>
    </row>
    <row r="52" ht="14.25" customHeight="1" s="100">
      <c r="A52" s="141" t="n"/>
      <c r="B52" s="141" t="n"/>
      <c r="C52" s="141" t="n"/>
      <c r="D52" s="142" t="n"/>
      <c r="E52" s="141" t="n"/>
      <c r="F52" s="141" t="n"/>
      <c r="G52" s="143" t="n"/>
      <c r="H52" s="141" t="n"/>
      <c r="I52" s="143" t="n"/>
      <c r="J52" s="143" t="n"/>
      <c r="K52" s="143">
        <f>IF(OR(G52="",I52=""),"",ROUND(G52-I52,2))</f>
        <v/>
      </c>
      <c r="L52" s="145">
        <f>IF(OR(B52="",G52=""),"No identificado",IF(AND(F52="Cancelado",H52="Cancelado"),"Conciliado",IF(OR(F52="Cancelado",H52="Cancelado"),"Conciliado (revisar)",IF(ABS(K52)&gt;Reglas!$C$7,"Conciliado (revisar)","Conciliado"))))</f>
        <v/>
      </c>
      <c r="M52" s="146" t="n"/>
    </row>
    <row r="53" ht="14.25" customHeight="1" s="100">
      <c r="A53" s="141" t="n"/>
      <c r="B53" s="141" t="n"/>
      <c r="C53" s="141" t="n"/>
      <c r="D53" s="142" t="n"/>
      <c r="E53" s="141" t="n"/>
      <c r="F53" s="141" t="n"/>
      <c r="G53" s="143" t="n"/>
      <c r="H53" s="141" t="n"/>
      <c r="I53" s="143" t="n"/>
      <c r="J53" s="143" t="n"/>
      <c r="K53" s="143">
        <f>IF(OR(G53="",I53=""),"",ROUND(G53-I53,2))</f>
        <v/>
      </c>
      <c r="L53" s="145">
        <f>IF(OR(B53="",G53=""),"No identificado",IF(AND(F53="Cancelado",H53="Cancelado"),"Conciliado",IF(OR(F53="Cancelado",H53="Cancelado"),"Conciliado (revisar)",IF(ABS(K53)&gt;Reglas!$C$7,"Conciliado (revisar)","Conciliado"))))</f>
        <v/>
      </c>
      <c r="M53" s="146" t="n"/>
    </row>
    <row r="54" ht="14.25" customHeight="1" s="100">
      <c r="A54" s="141" t="n"/>
      <c r="B54" s="141" t="n"/>
      <c r="C54" s="141" t="n"/>
      <c r="D54" s="142" t="n"/>
      <c r="E54" s="141" t="n"/>
      <c r="F54" s="141" t="n"/>
      <c r="G54" s="143" t="n"/>
      <c r="H54" s="141" t="n"/>
      <c r="I54" s="143" t="n"/>
      <c r="J54" s="143" t="n"/>
      <c r="K54" s="143">
        <f>IF(OR(G54="",I54=""),"",ROUND(G54-I54,2))</f>
        <v/>
      </c>
      <c r="L54" s="145">
        <f>IF(OR(B54="",G54=""),"No identificado",IF(AND(F54="Cancelado",H54="Cancelado"),"Conciliado",IF(OR(F54="Cancelado",H54="Cancelado"),"Conciliado (revisar)",IF(ABS(K54)&gt;Reglas!$C$7,"Conciliado (revisar)","Conciliado"))))</f>
        <v/>
      </c>
      <c r="M54" s="146" t="n"/>
    </row>
    <row r="55" ht="14.25" customHeight="1" s="100">
      <c r="A55" s="141" t="n"/>
      <c r="B55" s="141" t="n"/>
      <c r="C55" s="141" t="n"/>
      <c r="D55" s="142" t="n"/>
      <c r="E55" s="141" t="n"/>
      <c r="F55" s="141" t="n"/>
      <c r="G55" s="143" t="n"/>
      <c r="H55" s="141" t="n"/>
      <c r="I55" s="143" t="n"/>
      <c r="J55" s="143" t="n"/>
      <c r="K55" s="143">
        <f>IF(OR(G55="",I55=""),"",ROUND(G55-I55,2))</f>
        <v/>
      </c>
      <c r="L55" s="145">
        <f>IF(OR(B55="",G55=""),"No identificado",IF(AND(F55="Cancelado",H55="Cancelado"),"Conciliado",IF(OR(F55="Cancelado",H55="Cancelado"),"Conciliado (revisar)",IF(ABS(K55)&gt;Reglas!$C$7,"Conciliado (revisar)","Conciliado"))))</f>
        <v/>
      </c>
      <c r="M55" s="146" t="n"/>
    </row>
    <row r="56" ht="14.25" customHeight="1" s="100">
      <c r="A56" s="141" t="n"/>
      <c r="B56" s="141" t="n"/>
      <c r="C56" s="141" t="n"/>
      <c r="D56" s="142" t="n"/>
      <c r="E56" s="141" t="n"/>
      <c r="F56" s="141" t="n"/>
      <c r="G56" s="143" t="n"/>
      <c r="H56" s="141" t="n"/>
      <c r="I56" s="143" t="n"/>
      <c r="J56" s="143" t="n"/>
      <c r="K56" s="143">
        <f>IF(OR(G56="",I56=""),"",ROUND(G56-I56,2))</f>
        <v/>
      </c>
      <c r="L56" s="145">
        <f>IF(OR(B56="",G56=""),"No identificado",IF(AND(F56="Cancelado",H56="Cancelado"),"Conciliado",IF(OR(F56="Cancelado",H56="Cancelado"),"Conciliado (revisar)",IF(ABS(K56)&gt;Reglas!$C$7,"Conciliado (revisar)","Conciliado"))))</f>
        <v/>
      </c>
      <c r="M56" s="146" t="n"/>
    </row>
    <row r="57" ht="14.25" customHeight="1" s="100">
      <c r="A57" s="141" t="n"/>
      <c r="B57" s="141" t="n"/>
      <c r="C57" s="141" t="n"/>
      <c r="D57" s="142" t="n"/>
      <c r="E57" s="141" t="n"/>
      <c r="F57" s="141" t="n"/>
      <c r="G57" s="143" t="n"/>
      <c r="H57" s="141" t="n"/>
      <c r="I57" s="143" t="n"/>
      <c r="J57" s="143" t="n"/>
      <c r="K57" s="143">
        <f>IF(OR(G57="",I57=""),"",ROUND(G57-I57,2))</f>
        <v/>
      </c>
      <c r="L57" s="145">
        <f>IF(OR(B57="",G57=""),"No identificado",IF(AND(F57="Cancelado",H57="Cancelado"),"Conciliado",IF(OR(F57="Cancelado",H57="Cancelado"),"Conciliado (revisar)",IF(ABS(K57)&gt;Reglas!$C$7,"Conciliado (revisar)","Conciliado"))))</f>
        <v/>
      </c>
      <c r="M57" s="146" t="n"/>
    </row>
    <row r="58" ht="14.25" customHeight="1" s="100">
      <c r="A58" s="141" t="n"/>
      <c r="B58" s="141" t="n"/>
      <c r="C58" s="141" t="n"/>
      <c r="D58" s="142" t="n"/>
      <c r="E58" s="141" t="n"/>
      <c r="F58" s="141" t="n"/>
      <c r="G58" s="143" t="n"/>
      <c r="H58" s="141" t="n"/>
      <c r="I58" s="143" t="n"/>
      <c r="J58" s="143" t="n"/>
      <c r="K58" s="143">
        <f>IF(OR(G58="",I58=""),"",ROUND(G58-I58,2))</f>
        <v/>
      </c>
      <c r="L58" s="145">
        <f>IF(OR(B58="",G58=""),"No identificado",IF(AND(F58="Cancelado",H58="Cancelado"),"Conciliado",IF(OR(F58="Cancelado",H58="Cancelado"),"Conciliado (revisar)",IF(ABS(K58)&gt;Reglas!$C$7,"Conciliado (revisar)","Conciliado"))))</f>
        <v/>
      </c>
      <c r="M58" s="146" t="n"/>
    </row>
    <row r="59" ht="14.25" customHeight="1" s="100">
      <c r="A59" s="141" t="n"/>
      <c r="B59" s="141" t="n"/>
      <c r="C59" s="141" t="n"/>
      <c r="D59" s="142" t="n"/>
      <c r="E59" s="141" t="n"/>
      <c r="F59" s="141" t="n"/>
      <c r="G59" s="143" t="n"/>
      <c r="H59" s="141" t="n"/>
      <c r="I59" s="143" t="n"/>
      <c r="J59" s="143" t="n"/>
      <c r="K59" s="143">
        <f>IF(OR(G59="",I59=""),"",ROUND(G59-I59,2))</f>
        <v/>
      </c>
      <c r="L59" s="145">
        <f>IF(OR(B59="",G59=""),"No identificado",IF(AND(F59="Cancelado",H59="Cancelado"),"Conciliado",IF(OR(F59="Cancelado",H59="Cancelado"),"Conciliado (revisar)",IF(ABS(K59)&gt;Reglas!$C$7,"Conciliado (revisar)","Conciliado"))))</f>
        <v/>
      </c>
      <c r="M59" s="146" t="n"/>
    </row>
    <row r="60" ht="14.25" customHeight="1" s="100">
      <c r="A60" s="141" t="n"/>
      <c r="B60" s="141" t="n"/>
      <c r="C60" s="141" t="n"/>
      <c r="D60" s="142" t="n"/>
      <c r="E60" s="141" t="n"/>
      <c r="F60" s="141" t="n"/>
      <c r="G60" s="143" t="n"/>
      <c r="H60" s="141" t="n"/>
      <c r="I60" s="143" t="n"/>
      <c r="J60" s="143" t="n"/>
      <c r="K60" s="143">
        <f>IF(OR(G60="",I60=""),"",ROUND(G60-I60,2))</f>
        <v/>
      </c>
      <c r="L60" s="145">
        <f>IF(OR(B60="",G60=""),"No identificado",IF(AND(F60="Cancelado",H60="Cancelado"),"Conciliado",IF(OR(F60="Cancelado",H60="Cancelado"),"Conciliado (revisar)",IF(ABS(K60)&gt;Reglas!$C$7,"Conciliado (revisar)","Conciliado"))))</f>
        <v/>
      </c>
      <c r="M60" s="146" t="n"/>
    </row>
    <row r="61" ht="14.25" customHeight="1" s="100">
      <c r="A61" s="141" t="n"/>
      <c r="B61" s="141" t="n"/>
      <c r="C61" s="141" t="n"/>
      <c r="D61" s="142" t="n"/>
      <c r="E61" s="141" t="n"/>
      <c r="F61" s="141" t="n"/>
      <c r="G61" s="143" t="n"/>
      <c r="H61" s="141" t="n"/>
      <c r="I61" s="143" t="n"/>
      <c r="J61" s="143" t="n"/>
      <c r="K61" s="143">
        <f>IF(OR(G61="",I61=""),"",ROUND(G61-I61,2))</f>
        <v/>
      </c>
      <c r="L61" s="145">
        <f>IF(OR(B61="",G61=""),"No identificado",IF(AND(F61="Cancelado",H61="Cancelado"),"Conciliado",IF(OR(F61="Cancelado",H61="Cancelado"),"Conciliado (revisar)",IF(ABS(K61)&gt;Reglas!$C$7,"Conciliado (revisar)","Conciliado"))))</f>
        <v/>
      </c>
      <c r="M61" s="146" t="n"/>
    </row>
    <row r="62" ht="14.25" customHeight="1" s="100">
      <c r="A62" s="141" t="n"/>
      <c r="B62" s="141" t="n"/>
      <c r="C62" s="141" t="n"/>
      <c r="D62" s="142" t="n"/>
      <c r="E62" s="141" t="n"/>
      <c r="F62" s="141" t="n"/>
      <c r="G62" s="143" t="n"/>
      <c r="H62" s="141" t="n"/>
      <c r="I62" s="143" t="n"/>
      <c r="J62" s="143" t="n"/>
      <c r="K62" s="143">
        <f>IF(OR(G62="",I62=""),"",ROUND(G62-I62,2))</f>
        <v/>
      </c>
      <c r="L62" s="145">
        <f>IF(OR(B62="",G62=""),"No identificado",IF(AND(F62="Cancelado",H62="Cancelado"),"Conciliado",IF(OR(F62="Cancelado",H62="Cancelado"),"Conciliado (revisar)",IF(ABS(K62)&gt;Reglas!$C$7,"Conciliado (revisar)","Conciliado"))))</f>
        <v/>
      </c>
      <c r="M62" s="146" t="n"/>
    </row>
    <row r="63" ht="14.25" customHeight="1" s="100">
      <c r="A63" s="141" t="n"/>
      <c r="B63" s="141" t="n"/>
      <c r="C63" s="141" t="n"/>
      <c r="D63" s="142" t="n"/>
      <c r="E63" s="141" t="n"/>
      <c r="F63" s="141" t="n"/>
      <c r="G63" s="143" t="n"/>
      <c r="H63" s="141" t="n"/>
      <c r="I63" s="143" t="n"/>
      <c r="J63" s="143" t="n"/>
      <c r="K63" s="143">
        <f>IF(OR(G63="",I63=""),"",ROUND(G63-I63,2))</f>
        <v/>
      </c>
      <c r="L63" s="145">
        <f>IF(OR(B63="",G63=""),"No identificado",IF(AND(F63="Cancelado",H63="Cancelado"),"Conciliado",IF(OR(F63="Cancelado",H63="Cancelado"),"Conciliado (revisar)",IF(ABS(K63)&gt;Reglas!$C$7,"Conciliado (revisar)","Conciliado"))))</f>
        <v/>
      </c>
      <c r="M63" s="146" t="n"/>
    </row>
    <row r="64" ht="14.25" customHeight="1" s="100">
      <c r="A64" s="141" t="n"/>
      <c r="B64" s="141" t="n"/>
      <c r="C64" s="141" t="n"/>
      <c r="D64" s="142" t="n"/>
      <c r="E64" s="141" t="n"/>
      <c r="F64" s="141" t="n"/>
      <c r="G64" s="143" t="n"/>
      <c r="H64" s="141" t="n"/>
      <c r="I64" s="143" t="n"/>
      <c r="J64" s="143" t="n"/>
      <c r="K64" s="143">
        <f>IF(OR(G64="",I64=""),"",ROUND(G64-I64,2))</f>
        <v/>
      </c>
      <c r="L64" s="145">
        <f>IF(OR(B64="",G64=""),"No identificado",IF(AND(F64="Cancelado",H64="Cancelado"),"Conciliado",IF(OR(F64="Cancelado",H64="Cancelado"),"Conciliado (revisar)",IF(ABS(K64)&gt;Reglas!$C$7,"Conciliado (revisar)","Conciliado"))))</f>
        <v/>
      </c>
      <c r="M64" s="146" t="n"/>
    </row>
    <row r="65" ht="14.25" customHeight="1" s="100">
      <c r="A65" s="141" t="n"/>
      <c r="B65" s="141" t="n"/>
      <c r="C65" s="141" t="n"/>
      <c r="D65" s="142" t="n"/>
      <c r="E65" s="141" t="n"/>
      <c r="F65" s="141" t="n"/>
      <c r="G65" s="143" t="n"/>
      <c r="H65" s="141" t="n"/>
      <c r="I65" s="143" t="n"/>
      <c r="J65" s="143" t="n"/>
      <c r="K65" s="143">
        <f>IF(OR(G65="",I65=""),"",ROUND(G65-I65,2))</f>
        <v/>
      </c>
      <c r="L65" s="145">
        <f>IF(OR(B65="",G65=""),"No identificado",IF(AND(F65="Cancelado",H65="Cancelado"),"Conciliado",IF(OR(F65="Cancelado",H65="Cancelado"),"Conciliado (revisar)",IF(ABS(K65)&gt;Reglas!$C$7,"Conciliado (revisar)","Conciliado"))))</f>
        <v/>
      </c>
      <c r="M65" s="146" t="n"/>
    </row>
    <row r="66" ht="14.25" customHeight="1" s="100">
      <c r="A66" s="141" t="n"/>
      <c r="B66" s="141" t="n"/>
      <c r="C66" s="141" t="n"/>
      <c r="D66" s="142" t="n"/>
      <c r="E66" s="141" t="n"/>
      <c r="F66" s="141" t="n"/>
      <c r="G66" s="143" t="n"/>
      <c r="H66" s="141" t="n"/>
      <c r="I66" s="143" t="n"/>
      <c r="J66" s="143" t="n"/>
      <c r="K66" s="143">
        <f>IF(OR(G66="",I66=""),"",ROUND(G66-I66,2))</f>
        <v/>
      </c>
      <c r="L66" s="145">
        <f>IF(OR(B66="",G66=""),"No identificado",IF(AND(F66="Cancelado",H66="Cancelado"),"Conciliado",IF(OR(F66="Cancelado",H66="Cancelado"),"Conciliado (revisar)",IF(ABS(K66)&gt;Reglas!$C$7,"Conciliado (revisar)","Conciliado"))))</f>
        <v/>
      </c>
      <c r="M66" s="146" t="n"/>
    </row>
    <row r="67" ht="14.25" customHeight="1" s="100">
      <c r="A67" s="141" t="n"/>
      <c r="B67" s="141" t="n"/>
      <c r="C67" s="141" t="n"/>
      <c r="D67" s="142" t="n"/>
      <c r="E67" s="141" t="n"/>
      <c r="F67" s="141" t="n"/>
      <c r="G67" s="143" t="n"/>
      <c r="H67" s="141" t="n"/>
      <c r="I67" s="143" t="n"/>
      <c r="J67" s="143" t="n"/>
      <c r="K67" s="143">
        <f>IF(OR(G67="",I67=""),"",ROUND(G67-I67,2))</f>
        <v/>
      </c>
      <c r="L67" s="145">
        <f>IF(OR(B67="",G67=""),"No identificado",IF(AND(F67="Cancelado",H67="Cancelado"),"Conciliado",IF(OR(F67="Cancelado",H67="Cancelado"),"Conciliado (revisar)",IF(ABS(K67)&gt;Reglas!$C$7,"Conciliado (revisar)","Conciliado"))))</f>
        <v/>
      </c>
      <c r="M67" s="146" t="n"/>
    </row>
    <row r="68" ht="14.25" customHeight="1" s="100">
      <c r="A68" s="141" t="n"/>
      <c r="B68" s="141" t="n"/>
      <c r="C68" s="141" t="n"/>
      <c r="D68" s="142" t="n"/>
      <c r="E68" s="141" t="n"/>
      <c r="F68" s="141" t="n"/>
      <c r="G68" s="143" t="n"/>
      <c r="H68" s="141" t="n"/>
      <c r="I68" s="143" t="n"/>
      <c r="J68" s="143" t="n"/>
      <c r="K68" s="143">
        <f>IF(OR(G68="",I68=""),"",ROUND(G68-I68,2))</f>
        <v/>
      </c>
      <c r="L68" s="145">
        <f>IF(OR(B68="",G68=""),"No identificado",IF(AND(F68="Cancelado",H68="Cancelado"),"Conciliado",IF(OR(F68="Cancelado",H68="Cancelado"),"Conciliado (revisar)",IF(ABS(K68)&gt;Reglas!$C$7,"Conciliado (revisar)","Conciliado"))))</f>
        <v/>
      </c>
      <c r="M68" s="146" t="n"/>
    </row>
    <row r="69" ht="14.25" customHeight="1" s="100">
      <c r="A69" s="141" t="n"/>
      <c r="B69" s="141" t="n"/>
      <c r="C69" s="141" t="n"/>
      <c r="D69" s="142" t="n"/>
      <c r="E69" s="141" t="n"/>
      <c r="F69" s="141" t="n"/>
      <c r="G69" s="143" t="n"/>
      <c r="H69" s="141" t="n"/>
      <c r="I69" s="143" t="n"/>
      <c r="J69" s="143" t="n"/>
      <c r="K69" s="143">
        <f>IF(OR(G69="",I69=""),"",ROUND(G69-I69,2))</f>
        <v/>
      </c>
      <c r="L69" s="145">
        <f>IF(OR(B69="",G69=""),"No identificado",IF(AND(F69="Cancelado",H69="Cancelado"),"Conciliado",IF(OR(F69="Cancelado",H69="Cancelado"),"Conciliado (revisar)",IF(ABS(K69)&gt;Reglas!$C$7,"Conciliado (revisar)","Conciliado"))))</f>
        <v/>
      </c>
      <c r="M69" s="146" t="n"/>
    </row>
    <row r="70" ht="14.25" customHeight="1" s="100">
      <c r="A70" s="141" t="n"/>
      <c r="B70" s="141" t="n"/>
      <c r="C70" s="141" t="n"/>
      <c r="D70" s="142" t="n"/>
      <c r="E70" s="141" t="n"/>
      <c r="F70" s="141" t="n"/>
      <c r="G70" s="143" t="n"/>
      <c r="H70" s="141" t="n"/>
      <c r="I70" s="143" t="n"/>
      <c r="J70" s="143" t="n"/>
      <c r="K70" s="143">
        <f>IF(OR(G70="",I70=""),"",ROUND(G70-I70,2))</f>
        <v/>
      </c>
      <c r="L70" s="145">
        <f>IF(OR(B70="",G70=""),"No identificado",IF(AND(F70="Cancelado",H70="Cancelado"),"Conciliado",IF(OR(F70="Cancelado",H70="Cancelado"),"Conciliado (revisar)",IF(ABS(K70)&gt;Reglas!$C$7,"Conciliado (revisar)","Conciliado"))))</f>
        <v/>
      </c>
      <c r="M70" s="146" t="n"/>
    </row>
    <row r="71" ht="14.25" customHeight="1" s="100">
      <c r="A71" s="141" t="n"/>
      <c r="B71" s="141" t="n"/>
      <c r="C71" s="141" t="n"/>
      <c r="D71" s="142" t="n"/>
      <c r="E71" s="141" t="n"/>
      <c r="F71" s="141" t="n"/>
      <c r="G71" s="143" t="n"/>
      <c r="H71" s="141" t="n"/>
      <c r="I71" s="143" t="n"/>
      <c r="J71" s="143" t="n"/>
      <c r="K71" s="143">
        <f>IF(OR(G71="",I71=""),"",ROUND(G71-I71,2))</f>
        <v/>
      </c>
      <c r="L71" s="145">
        <f>IF(OR(B71="",G71=""),"No identificado",IF(AND(F71="Cancelado",H71="Cancelado"),"Conciliado",IF(OR(F71="Cancelado",H71="Cancelado"),"Conciliado (revisar)",IF(ABS(K71)&gt;Reglas!$C$7,"Conciliado (revisar)","Conciliado"))))</f>
        <v/>
      </c>
      <c r="M71" s="146" t="n"/>
    </row>
    <row r="72" ht="14.25" customHeight="1" s="100">
      <c r="A72" s="141" t="n"/>
      <c r="B72" s="141" t="n"/>
      <c r="C72" s="141" t="n"/>
      <c r="D72" s="142" t="n"/>
      <c r="E72" s="141" t="n"/>
      <c r="F72" s="141" t="n"/>
      <c r="G72" s="143" t="n"/>
      <c r="H72" s="141" t="n"/>
      <c r="I72" s="143" t="n"/>
      <c r="J72" s="143" t="n"/>
      <c r="K72" s="143">
        <f>IF(OR(G72="",I72=""),"",ROUND(G72-I72,2))</f>
        <v/>
      </c>
      <c r="L72" s="145">
        <f>IF(OR(B72="",G72=""),"No identificado",IF(AND(F72="Cancelado",H72="Cancelado"),"Conciliado",IF(OR(F72="Cancelado",H72="Cancelado"),"Conciliado (revisar)",IF(ABS(K72)&gt;Reglas!$C$7,"Conciliado (revisar)","Conciliado"))))</f>
        <v/>
      </c>
      <c r="M72" s="146" t="n"/>
    </row>
    <row r="73" ht="14.25" customHeight="1" s="100">
      <c r="A73" s="141" t="n"/>
      <c r="B73" s="141" t="n"/>
      <c r="C73" s="141" t="n"/>
      <c r="D73" s="142" t="n"/>
      <c r="E73" s="141" t="n"/>
      <c r="F73" s="141" t="n"/>
      <c r="G73" s="143" t="n"/>
      <c r="H73" s="141" t="n"/>
      <c r="I73" s="143" t="n"/>
      <c r="J73" s="143" t="n"/>
      <c r="K73" s="143">
        <f>IF(OR(G73="",I73=""),"",ROUND(G73-I73,2))</f>
        <v/>
      </c>
      <c r="L73" s="145">
        <f>IF(OR(B73="",G73=""),"No identificado",IF(AND(F73="Cancelado",H73="Cancelado"),"Conciliado",IF(OR(F73="Cancelado",H73="Cancelado"),"Conciliado (revisar)",IF(ABS(K73)&gt;Reglas!$C$7,"Conciliado (revisar)","Conciliado"))))</f>
        <v/>
      </c>
      <c r="M73" s="146" t="n"/>
    </row>
    <row r="74" ht="14.25" customHeight="1" s="100">
      <c r="A74" s="141" t="n"/>
      <c r="B74" s="141" t="n"/>
      <c r="C74" s="141" t="n"/>
      <c r="D74" s="142" t="n"/>
      <c r="E74" s="141" t="n"/>
      <c r="F74" s="141" t="n"/>
      <c r="G74" s="143" t="n"/>
      <c r="H74" s="141" t="n"/>
      <c r="I74" s="143" t="n"/>
      <c r="J74" s="143" t="n"/>
      <c r="K74" s="143">
        <f>IF(OR(G74="",I74=""),"",ROUND(G74-I74,2))</f>
        <v/>
      </c>
      <c r="L74" s="145">
        <f>IF(OR(B74="",G74=""),"No identificado",IF(AND(F74="Cancelado",H74="Cancelado"),"Conciliado",IF(OR(F74="Cancelado",H74="Cancelado"),"Conciliado (revisar)",IF(ABS(K74)&gt;Reglas!$C$7,"Conciliado (revisar)","Conciliado"))))</f>
        <v/>
      </c>
      <c r="M74" s="146" t="n"/>
    </row>
    <row r="75" ht="14.25" customHeight="1" s="100">
      <c r="A75" s="141" t="n"/>
      <c r="B75" s="141" t="n"/>
      <c r="C75" s="141" t="n"/>
      <c r="D75" s="142" t="n"/>
      <c r="E75" s="141" t="n"/>
      <c r="F75" s="141" t="n"/>
      <c r="G75" s="143" t="n"/>
      <c r="H75" s="141" t="n"/>
      <c r="I75" s="143" t="n"/>
      <c r="J75" s="143" t="n"/>
      <c r="K75" s="143">
        <f>IF(OR(G75="",I75=""),"",ROUND(G75-I75,2))</f>
        <v/>
      </c>
      <c r="L75" s="145">
        <f>IF(OR(B75="",G75=""),"No identificado",IF(AND(F75="Cancelado",H75="Cancelado"),"Conciliado",IF(OR(F75="Cancelado",H75="Cancelado"),"Conciliado (revisar)",IF(ABS(K75)&gt;Reglas!$C$7,"Conciliado (revisar)","Conciliado"))))</f>
        <v/>
      </c>
      <c r="M75" s="146" t="n"/>
    </row>
    <row r="76" ht="14.25" customHeight="1" s="100">
      <c r="A76" s="141" t="n"/>
      <c r="B76" s="141" t="n"/>
      <c r="C76" s="141" t="n"/>
      <c r="D76" s="142" t="n"/>
      <c r="E76" s="141" t="n"/>
      <c r="F76" s="141" t="n"/>
      <c r="G76" s="143" t="n"/>
      <c r="H76" s="141" t="n"/>
      <c r="I76" s="143" t="n"/>
      <c r="J76" s="143" t="n"/>
      <c r="K76" s="143">
        <f>IF(OR(G76="",I76=""),"",ROUND(G76-I76,2))</f>
        <v/>
      </c>
      <c r="L76" s="145">
        <f>IF(OR(B76="",G76=""),"No identificado",IF(AND(F76="Cancelado",H76="Cancelado"),"Conciliado",IF(OR(F76="Cancelado",H76="Cancelado"),"Conciliado (revisar)",IF(ABS(K76)&gt;Reglas!$C$7,"Conciliado (revisar)","Conciliado"))))</f>
        <v/>
      </c>
      <c r="M76" s="146" t="n"/>
    </row>
    <row r="77" ht="14.25" customHeight="1" s="100">
      <c r="A77" s="141" t="n"/>
      <c r="B77" s="141" t="n"/>
      <c r="C77" s="141" t="n"/>
      <c r="D77" s="142" t="n"/>
      <c r="E77" s="141" t="n"/>
      <c r="F77" s="141" t="n"/>
      <c r="G77" s="143" t="n"/>
      <c r="H77" s="141" t="n"/>
      <c r="I77" s="143" t="n"/>
      <c r="J77" s="143" t="n"/>
      <c r="K77" s="143">
        <f>IF(OR(G77="",I77=""),"",ROUND(G77-I77,2))</f>
        <v/>
      </c>
      <c r="L77" s="145">
        <f>IF(OR(B77="",G77=""),"No identificado",IF(AND(F77="Cancelado",H77="Cancelado"),"Conciliado",IF(OR(F77="Cancelado",H77="Cancelado"),"Conciliado (revisar)",IF(ABS(K77)&gt;Reglas!$C$7,"Conciliado (revisar)","Conciliado"))))</f>
        <v/>
      </c>
      <c r="M77" s="146" t="n"/>
    </row>
    <row r="78" ht="14.25" customHeight="1" s="100">
      <c r="A78" s="141" t="n"/>
      <c r="B78" s="141" t="n"/>
      <c r="C78" s="141" t="n"/>
      <c r="D78" s="142" t="n"/>
      <c r="E78" s="141" t="n"/>
      <c r="F78" s="141" t="n"/>
      <c r="G78" s="143" t="n"/>
      <c r="H78" s="141" t="n"/>
      <c r="I78" s="143" t="n"/>
      <c r="J78" s="143" t="n"/>
      <c r="K78" s="143">
        <f>IF(OR(G78="",I78=""),"",ROUND(G78-I78,2))</f>
        <v/>
      </c>
      <c r="L78" s="145">
        <f>IF(OR(B78="",G78=""),"No identificado",IF(AND(F78="Cancelado",H78="Cancelado"),"Conciliado",IF(OR(F78="Cancelado",H78="Cancelado"),"Conciliado (revisar)",IF(ABS(K78)&gt;Reglas!$C$7,"Conciliado (revisar)","Conciliado"))))</f>
        <v/>
      </c>
      <c r="M78" s="146" t="n"/>
    </row>
    <row r="79" ht="14.25" customHeight="1" s="100">
      <c r="A79" s="141" t="n"/>
      <c r="B79" s="141" t="n"/>
      <c r="C79" s="141" t="n"/>
      <c r="D79" s="142" t="n"/>
      <c r="E79" s="141" t="n"/>
      <c r="F79" s="141" t="n"/>
      <c r="G79" s="143" t="n"/>
      <c r="H79" s="141" t="n"/>
      <c r="I79" s="143" t="n"/>
      <c r="J79" s="143" t="n"/>
      <c r="K79" s="143">
        <f>IF(OR(G79="",I79=""),"",ROUND(G79-I79,2))</f>
        <v/>
      </c>
      <c r="L79" s="145">
        <f>IF(OR(B79="",G79=""),"No identificado",IF(AND(F79="Cancelado",H79="Cancelado"),"Conciliado",IF(OR(F79="Cancelado",H79="Cancelado"),"Conciliado (revisar)",IF(ABS(K79)&gt;Reglas!$C$7,"Conciliado (revisar)","Conciliado"))))</f>
        <v/>
      </c>
      <c r="M79" s="146" t="n"/>
    </row>
    <row r="80" ht="14.25" customHeight="1" s="100">
      <c r="A80" s="141" t="n"/>
      <c r="B80" s="141" t="n"/>
      <c r="C80" s="141" t="n"/>
      <c r="D80" s="142" t="n"/>
      <c r="E80" s="141" t="n"/>
      <c r="F80" s="141" t="n"/>
      <c r="G80" s="143" t="n"/>
      <c r="H80" s="141" t="n"/>
      <c r="I80" s="143" t="n"/>
      <c r="J80" s="143" t="n"/>
      <c r="K80" s="143">
        <f>IF(OR(G80="",I80=""),"",ROUND(G80-I80,2))</f>
        <v/>
      </c>
      <c r="L80" s="145">
        <f>IF(OR(B80="",G80=""),"No identificado",IF(AND(F80="Cancelado",H80="Cancelado"),"Conciliado",IF(OR(F80="Cancelado",H80="Cancelado"),"Conciliado (revisar)",IF(ABS(K80)&gt;Reglas!$C$7,"Conciliado (revisar)","Conciliado"))))</f>
        <v/>
      </c>
      <c r="M80" s="146" t="n"/>
    </row>
    <row r="81" ht="14.25" customHeight="1" s="100">
      <c r="A81" s="141" t="n"/>
      <c r="B81" s="141" t="n"/>
      <c r="C81" s="141" t="n"/>
      <c r="D81" s="142" t="n"/>
      <c r="E81" s="141" t="n"/>
      <c r="F81" s="141" t="n"/>
      <c r="G81" s="143" t="n"/>
      <c r="H81" s="141" t="n"/>
      <c r="I81" s="143" t="n"/>
      <c r="J81" s="143" t="n"/>
      <c r="K81" s="143">
        <f>IF(OR(G81="",I81=""),"",ROUND(G81-I81,2))</f>
        <v/>
      </c>
      <c r="L81" s="145">
        <f>IF(OR(B81="",G81=""),"No identificado",IF(AND(F81="Cancelado",H81="Cancelado"),"Conciliado",IF(OR(F81="Cancelado",H81="Cancelado"),"Conciliado (revisar)",IF(ABS(K81)&gt;Reglas!$C$7,"Conciliado (revisar)","Conciliado"))))</f>
        <v/>
      </c>
      <c r="M81" s="146" t="n"/>
    </row>
    <row r="82" ht="14.25" customHeight="1" s="100">
      <c r="A82" s="141" t="n"/>
      <c r="B82" s="141" t="n"/>
      <c r="C82" s="141" t="n"/>
      <c r="D82" s="142" t="n"/>
      <c r="E82" s="141" t="n"/>
      <c r="F82" s="141" t="n"/>
      <c r="G82" s="143" t="n"/>
      <c r="H82" s="141" t="n"/>
      <c r="I82" s="143" t="n"/>
      <c r="J82" s="143" t="n"/>
      <c r="K82" s="143">
        <f>IF(OR(G82="",I82=""),"",ROUND(G82-I82,2))</f>
        <v/>
      </c>
      <c r="L82" s="145">
        <f>IF(OR(B82="",G82=""),"No identificado",IF(AND(F82="Cancelado",H82="Cancelado"),"Conciliado",IF(OR(F82="Cancelado",H82="Cancelado"),"Conciliado (revisar)",IF(ABS(K82)&gt;Reglas!$C$7,"Conciliado (revisar)","Conciliado"))))</f>
        <v/>
      </c>
      <c r="M82" s="146" t="n"/>
    </row>
    <row r="83" ht="14.25" customHeight="1" s="100">
      <c r="A83" s="141" t="n"/>
      <c r="B83" s="141" t="n"/>
      <c r="C83" s="141" t="n"/>
      <c r="D83" s="142" t="n"/>
      <c r="E83" s="141" t="n"/>
      <c r="F83" s="141" t="n"/>
      <c r="G83" s="143" t="n"/>
      <c r="H83" s="141" t="n"/>
      <c r="I83" s="143" t="n"/>
      <c r="J83" s="143" t="n"/>
      <c r="K83" s="143">
        <f>IF(OR(G83="",I83=""),"",ROUND(G83-I83,2))</f>
        <v/>
      </c>
      <c r="L83" s="145">
        <f>IF(OR(B83="",G83=""),"No identificado",IF(AND(F83="Cancelado",H83="Cancelado"),"Conciliado",IF(OR(F83="Cancelado",H83="Cancelado"),"Conciliado (revisar)",IF(ABS(K83)&gt;Reglas!$C$7,"Conciliado (revisar)","Conciliado"))))</f>
        <v/>
      </c>
      <c r="M83" s="146" t="n"/>
    </row>
    <row r="84" ht="14.25" customHeight="1" s="100">
      <c r="A84" s="141" t="n"/>
      <c r="B84" s="141" t="n"/>
      <c r="C84" s="141" t="n"/>
      <c r="D84" s="142" t="n"/>
      <c r="E84" s="141" t="n"/>
      <c r="F84" s="141" t="n"/>
      <c r="G84" s="143" t="n"/>
      <c r="H84" s="141" t="n"/>
      <c r="I84" s="143" t="n"/>
      <c r="J84" s="143" t="n"/>
      <c r="K84" s="143">
        <f>IF(OR(G84="",I84=""),"",ROUND(G84-I84,2))</f>
        <v/>
      </c>
      <c r="L84" s="145">
        <f>IF(OR(B84="",G84=""),"No identificado",IF(AND(F84="Cancelado",H84="Cancelado"),"Conciliado",IF(OR(F84="Cancelado",H84="Cancelado"),"Conciliado (revisar)",IF(ABS(K84)&gt;Reglas!$C$7,"Conciliado (revisar)","Conciliado"))))</f>
        <v/>
      </c>
      <c r="M84" s="146" t="n"/>
    </row>
    <row r="85" ht="14.25" customHeight="1" s="100">
      <c r="A85" s="141" t="n"/>
      <c r="B85" s="141" t="n"/>
      <c r="C85" s="141" t="n"/>
      <c r="D85" s="142" t="n"/>
      <c r="E85" s="141" t="n"/>
      <c r="F85" s="141" t="n"/>
      <c r="G85" s="143" t="n"/>
      <c r="H85" s="141" t="n"/>
      <c r="I85" s="143" t="n"/>
      <c r="J85" s="143" t="n"/>
      <c r="K85" s="143">
        <f>IF(OR(G85="",I85=""),"",ROUND(G85-I85,2))</f>
        <v/>
      </c>
      <c r="L85" s="145">
        <f>IF(OR(B85="",G85=""),"No identificado",IF(AND(F85="Cancelado",H85="Cancelado"),"Conciliado",IF(OR(F85="Cancelado",H85="Cancelado"),"Conciliado (revisar)",IF(ABS(K85)&gt;Reglas!$C$7,"Conciliado (revisar)","Conciliado"))))</f>
        <v/>
      </c>
      <c r="M85" s="146" t="n"/>
    </row>
    <row r="86" ht="14.25" customHeight="1" s="100">
      <c r="A86" s="141" t="n"/>
      <c r="B86" s="141" t="n"/>
      <c r="C86" s="141" t="n"/>
      <c r="D86" s="142" t="n"/>
      <c r="E86" s="141" t="n"/>
      <c r="F86" s="141" t="n"/>
      <c r="G86" s="143" t="n"/>
      <c r="H86" s="141" t="n"/>
      <c r="I86" s="143" t="n"/>
      <c r="J86" s="143" t="n"/>
      <c r="K86" s="143">
        <f>IF(OR(G86="",I86=""),"",ROUND(G86-I86,2))</f>
        <v/>
      </c>
      <c r="L86" s="145">
        <f>IF(OR(B86="",G86=""),"No identificado",IF(AND(F86="Cancelado",H86="Cancelado"),"Conciliado",IF(OR(F86="Cancelado",H86="Cancelado"),"Conciliado (revisar)",IF(ABS(K86)&gt;Reglas!$C$7,"Conciliado (revisar)","Conciliado"))))</f>
        <v/>
      </c>
      <c r="M86" s="146" t="n"/>
    </row>
    <row r="87" ht="14.25" customHeight="1" s="100">
      <c r="A87" s="141" t="n"/>
      <c r="B87" s="141" t="n"/>
      <c r="C87" s="141" t="n"/>
      <c r="D87" s="142" t="n"/>
      <c r="E87" s="141" t="n"/>
      <c r="F87" s="141" t="n"/>
      <c r="G87" s="143" t="n"/>
      <c r="H87" s="141" t="n"/>
      <c r="I87" s="143" t="n"/>
      <c r="J87" s="143" t="n"/>
      <c r="K87" s="143">
        <f>IF(OR(G87="",I87=""),"",ROUND(G87-I87,2))</f>
        <v/>
      </c>
      <c r="L87" s="145">
        <f>IF(OR(B87="",G87=""),"No identificado",IF(AND(F87="Cancelado",H87="Cancelado"),"Conciliado",IF(OR(F87="Cancelado",H87="Cancelado"),"Conciliado (revisar)",IF(ABS(K87)&gt;Reglas!$C$7,"Conciliado (revisar)","Conciliado"))))</f>
        <v/>
      </c>
      <c r="M87" s="146" t="n"/>
    </row>
    <row r="88" ht="14.25" customHeight="1" s="100">
      <c r="A88" s="141" t="n"/>
      <c r="B88" s="141" t="n"/>
      <c r="C88" s="141" t="n"/>
      <c r="D88" s="142" t="n"/>
      <c r="E88" s="141" t="n"/>
      <c r="F88" s="141" t="n"/>
      <c r="G88" s="143" t="n"/>
      <c r="H88" s="141" t="n"/>
      <c r="I88" s="143" t="n"/>
      <c r="J88" s="143" t="n"/>
      <c r="K88" s="143">
        <f>IF(OR(G88="",I88=""),"",ROUND(G88-I88,2))</f>
        <v/>
      </c>
      <c r="L88" s="145">
        <f>IF(OR(B88="",G88=""),"No identificado",IF(AND(F88="Cancelado",H88="Cancelado"),"Conciliado",IF(OR(F88="Cancelado",H88="Cancelado"),"Conciliado (revisar)",IF(ABS(K88)&gt;Reglas!$C$7,"Conciliado (revisar)","Conciliado"))))</f>
        <v/>
      </c>
      <c r="M88" s="146" t="n"/>
    </row>
    <row r="89" ht="14.25" customHeight="1" s="100">
      <c r="A89" s="141" t="n"/>
      <c r="B89" s="141" t="n"/>
      <c r="C89" s="141" t="n"/>
      <c r="D89" s="142" t="n"/>
      <c r="E89" s="141" t="n"/>
      <c r="F89" s="141" t="n"/>
      <c r="G89" s="143" t="n"/>
      <c r="H89" s="141" t="n"/>
      <c r="I89" s="143" t="n"/>
      <c r="J89" s="143" t="n"/>
      <c r="K89" s="143">
        <f>IF(OR(G89="",I89=""),"",ROUND(G89-I89,2))</f>
        <v/>
      </c>
      <c r="L89" s="145">
        <f>IF(OR(B89="",G89=""),"No identificado",IF(AND(F89="Cancelado",H89="Cancelado"),"Conciliado",IF(OR(F89="Cancelado",H89="Cancelado"),"Conciliado (revisar)",IF(ABS(K89)&gt;Reglas!$C$7,"Conciliado (revisar)","Conciliado"))))</f>
        <v/>
      </c>
      <c r="M89" s="146" t="n"/>
    </row>
    <row r="90" ht="14.25" customHeight="1" s="100">
      <c r="A90" s="141" t="n"/>
      <c r="B90" s="141" t="n"/>
      <c r="C90" s="141" t="n"/>
      <c r="D90" s="142" t="n"/>
      <c r="E90" s="141" t="n"/>
      <c r="F90" s="141" t="n"/>
      <c r="G90" s="143" t="n"/>
      <c r="H90" s="141" t="n"/>
      <c r="I90" s="143" t="n"/>
      <c r="J90" s="143" t="n"/>
      <c r="K90" s="143">
        <f>IF(OR(G90="",I90=""),"",ROUND(G90-I90,2))</f>
        <v/>
      </c>
      <c r="L90" s="145">
        <f>IF(OR(B90="",G90=""),"No identificado",IF(AND(F90="Cancelado",H90="Cancelado"),"Conciliado",IF(OR(F90="Cancelado",H90="Cancelado"),"Conciliado (revisar)",IF(ABS(K90)&gt;Reglas!$C$7,"Conciliado (revisar)","Conciliado"))))</f>
        <v/>
      </c>
      <c r="M90" s="146" t="n"/>
    </row>
    <row r="91" ht="14.25" customHeight="1" s="100">
      <c r="A91" s="141" t="n"/>
      <c r="B91" s="141" t="n"/>
      <c r="C91" s="141" t="n"/>
      <c r="D91" s="142" t="n"/>
      <c r="E91" s="141" t="n"/>
      <c r="F91" s="141" t="n"/>
      <c r="G91" s="143" t="n"/>
      <c r="H91" s="141" t="n"/>
      <c r="I91" s="143" t="n"/>
      <c r="J91" s="143" t="n"/>
      <c r="K91" s="143">
        <f>IF(OR(G91="",I91=""),"",ROUND(G91-I91,2))</f>
        <v/>
      </c>
      <c r="L91" s="145">
        <f>IF(OR(B91="",G91=""),"No identificado",IF(AND(F91="Cancelado",H91="Cancelado"),"Conciliado",IF(OR(F91="Cancelado",H91="Cancelado"),"Conciliado (revisar)",IF(ABS(K91)&gt;Reglas!$C$7,"Conciliado (revisar)","Conciliado"))))</f>
        <v/>
      </c>
      <c r="M91" s="146" t="n"/>
    </row>
    <row r="92" ht="14.25" customHeight="1" s="100">
      <c r="A92" s="141" t="n"/>
      <c r="B92" s="141" t="n"/>
      <c r="C92" s="141" t="n"/>
      <c r="D92" s="142" t="n"/>
      <c r="E92" s="141" t="n"/>
      <c r="F92" s="141" t="n"/>
      <c r="G92" s="143" t="n"/>
      <c r="H92" s="141" t="n"/>
      <c r="I92" s="143" t="n"/>
      <c r="J92" s="143" t="n"/>
      <c r="K92" s="143">
        <f>IF(OR(G92="",I92=""),"",ROUND(G92-I92,2))</f>
        <v/>
      </c>
      <c r="L92" s="145">
        <f>IF(OR(B92="",G92=""),"No identificado",IF(AND(F92="Cancelado",H92="Cancelado"),"Conciliado",IF(OR(F92="Cancelado",H92="Cancelado"),"Conciliado (revisar)",IF(ABS(K92)&gt;Reglas!$C$7,"Conciliado (revisar)","Conciliado"))))</f>
        <v/>
      </c>
      <c r="M92" s="146" t="n"/>
    </row>
    <row r="93" ht="14.25" customHeight="1" s="100">
      <c r="A93" s="141" t="n"/>
      <c r="B93" s="141" t="n"/>
      <c r="C93" s="141" t="n"/>
      <c r="D93" s="142" t="n"/>
      <c r="E93" s="141" t="n"/>
      <c r="F93" s="141" t="n"/>
      <c r="G93" s="143" t="n"/>
      <c r="H93" s="141" t="n"/>
      <c r="I93" s="143" t="n"/>
      <c r="J93" s="143" t="n"/>
      <c r="K93" s="143">
        <f>IF(OR(G93="",I93=""),"",ROUND(G93-I93,2))</f>
        <v/>
      </c>
      <c r="L93" s="145">
        <f>IF(OR(B93="",G93=""),"No identificado",IF(AND(F93="Cancelado",H93="Cancelado"),"Conciliado",IF(OR(F93="Cancelado",H93="Cancelado"),"Conciliado (revisar)",IF(ABS(K93)&gt;Reglas!$C$7,"Conciliado (revisar)","Conciliado"))))</f>
        <v/>
      </c>
      <c r="M93" s="146" t="n"/>
    </row>
    <row r="94" ht="14.25" customHeight="1" s="100">
      <c r="A94" s="141" t="n"/>
      <c r="B94" s="141" t="n"/>
      <c r="C94" s="141" t="n"/>
      <c r="D94" s="142" t="n"/>
      <c r="E94" s="141" t="n"/>
      <c r="F94" s="141" t="n"/>
      <c r="G94" s="143" t="n"/>
      <c r="H94" s="141" t="n"/>
      <c r="I94" s="143" t="n"/>
      <c r="J94" s="143" t="n"/>
      <c r="K94" s="143">
        <f>IF(OR(G94="",I94=""),"",ROUND(G94-I94,2))</f>
        <v/>
      </c>
      <c r="L94" s="145">
        <f>IF(OR(B94="",G94=""),"No identificado",IF(AND(F94="Cancelado",H94="Cancelado"),"Conciliado",IF(OR(F94="Cancelado",H94="Cancelado"),"Conciliado (revisar)",IF(ABS(K94)&gt;Reglas!$C$7,"Conciliado (revisar)","Conciliado"))))</f>
        <v/>
      </c>
      <c r="M94" s="146" t="n"/>
    </row>
  </sheetData>
  <autoFilter ref="A7:M94"/>
  <conditionalFormatting sqref="L8:L94">
    <cfRule type="expression" rank="0" priority="2" equalAverage="0" aboveAverage="0" dxfId="5" text="" percent="0" bottom="0">
      <formula>$L8="Conciliado"</formula>
    </cfRule>
    <cfRule type="expression" rank="0" priority="3" equalAverage="0" aboveAverage="0" dxfId="6" text="" percent="0" bottom="0">
      <formula>$L8="Conciliado (validar)"</formula>
    </cfRule>
    <cfRule type="expression" rank="0" priority="4" equalAverage="0" aboveAverage="0" dxfId="7" text="" percent="0" bottom="0">
      <formula>$L8="Conciliado (revisar)"</formula>
    </cfRule>
    <cfRule type="expression" rank="0" priority="5" equalAverage="0" aboveAverage="0" dxfId="8" text="" percent="0" bottom="0">
      <formula>$L8="No identificado"</formula>
    </cfRule>
  </conditionalFormatting>
  <conditionalFormatting sqref="A8:K94">
    <cfRule type="expression" rank="0" priority="6" equalAverage="0" aboveAverage="0" dxfId="19" text="" percent="0" bottom="0">
      <formula>OR($F8="Cancelado",$H8="Cancelado")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L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baseColWidth="8" defaultColWidth="8.66796875" defaultRowHeight="14.25" zeroHeight="0" outlineLevelRow="0"/>
  <cols>
    <col width="12" customWidth="1" style="99" min="1" max="2"/>
    <col width="22" customWidth="1" style="99" min="3" max="3"/>
    <col width="32" customWidth="1" style="99" min="4" max="4"/>
    <col width="38" customWidth="1" style="99" min="5" max="5"/>
    <col width="14" customWidth="1" style="99" min="6" max="7"/>
    <col width="13" customWidth="1" style="99" min="8" max="8"/>
    <col width="18" customWidth="1" style="99" min="9" max="9"/>
    <col width="56" customWidth="1" style="99" min="10" max="10"/>
    <col width="10" customWidth="1" style="99" min="11" max="11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</row>
    <row r="2" ht="25.5" customHeight="1" s="100">
      <c r="A2" s="101" t="n"/>
      <c r="B2" s="101" t="n"/>
      <c r="C2" s="103" t="inlineStr">
        <is>
          <t>IVA del mes: Odoo contra la conciliación</t>
        </is>
      </c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</row>
    <row r="4"/>
    <row r="5" ht="14.25" customHeight="1" s="100">
      <c r="A5" s="105" t="inlineStr">
        <is>
          <t>Compara, factura por factura, el IVA que Odoo registró en sus cuentas de flujo (208.01 y 118.01) contra el IVA que resulta de los cobros y pagos conciliados.</t>
        </is>
      </c>
    </row>
    <row r="6"/>
    <row r="7" ht="15" customHeight="1" s="100">
      <c r="A7" s="108" t="inlineStr">
        <is>
          <t>Saldos de las cuentas de IVA en Odoo</t>
        </is>
      </c>
    </row>
    <row r="8" ht="39.75" customHeight="1" s="100">
      <c r="A8" s="139" t="inlineStr">
        <is>
          <t>Cuenta</t>
        </is>
      </c>
      <c r="B8" s="139" t="inlineStr">
        <is>
          <t>Nombre</t>
        </is>
      </c>
      <c r="C8" s="139" t="inlineStr">
        <is>
          <t>Saldo inicial</t>
        </is>
      </c>
      <c r="D8" s="139" t="inlineStr">
        <is>
          <t>Movimiento del mes</t>
        </is>
      </c>
      <c r="E8" s="139" t="inlineStr">
        <is>
          <t>Saldo final</t>
        </is>
      </c>
      <c r="F8" s="139" t="inlineStr">
        <is>
          <t>Según la conciliación</t>
        </is>
      </c>
      <c r="G8" s="139" t="inlineStr">
        <is>
          <t>Diferencia</t>
        </is>
      </c>
    </row>
    <row r="9" ht="14.25" customHeight="1" s="100">
      <c r="A9" s="126" t="inlineStr">
        <is>
          <t>118.01.01</t>
        </is>
      </c>
      <c r="B9" s="126" t="inlineStr">
        <is>
          <t>IVA acreditable pagado</t>
        </is>
      </c>
      <c r="C9" s="149" t="n"/>
      <c r="D9" s="149">
        <f>E9-C9</f>
        <v/>
      </c>
      <c r="E9" s="149" t="n"/>
      <c r="F9" s="149">
        <f>'Desglose fiscal'!C32</f>
        <v/>
      </c>
      <c r="G9" s="127">
        <f>ROUND(D9-F9,2)</f>
        <v/>
      </c>
    </row>
    <row r="10" ht="14.25" customHeight="1" s="100">
      <c r="A10" s="126" t="inlineStr">
        <is>
          <t>208.01.01</t>
        </is>
      </c>
      <c r="B10" s="126" t="inlineStr">
        <is>
          <t>IVA trasladado cobrado</t>
        </is>
      </c>
      <c r="C10" s="149" t="n"/>
      <c r="D10" s="149">
        <f>E10-C10</f>
        <v/>
      </c>
      <c r="E10" s="149" t="n"/>
      <c r="F10" s="149">
        <f>'Desglose fiscal'!C18</f>
        <v/>
      </c>
      <c r="G10" s="127">
        <f>ROUND(D10-F10,2)</f>
        <v/>
      </c>
    </row>
    <row r="11"/>
    <row r="12" ht="14.25" customHeight="1" s="100">
      <c r="A12" s="150" t="inlineStr">
        <is>
          <t>Signos: el IVA trasladado se muestra en positivo para leerlo igual que el acreditable. Fuente: libro mayor del mes leído de Odoo.</t>
        </is>
      </c>
    </row>
    <row r="13"/>
    <row r="14" ht="15" customHeight="1" s="100">
      <c r="A14" s="108" t="inlineStr">
        <is>
          <t>Detalle por factura</t>
        </is>
      </c>
    </row>
    <row r="15" ht="39.75" customHeight="1" s="100">
      <c r="A15" s="139" t="inlineStr">
        <is>
          <t>IVA</t>
        </is>
      </c>
      <c r="B15" s="139" t="inlineStr">
        <is>
          <t>Cuenta</t>
        </is>
      </c>
      <c r="C15" s="139" t="inlineStr">
        <is>
          <t>Factura en Odoo</t>
        </is>
      </c>
      <c r="D15" s="139" t="inlineStr">
        <is>
          <t>Contacto</t>
        </is>
      </c>
      <c r="E15" s="139" t="inlineStr">
        <is>
          <t>UUID</t>
        </is>
      </c>
      <c r="F15" s="139" t="inlineStr">
        <is>
          <t>IVA en Odoo</t>
        </is>
      </c>
      <c r="G15" s="139" t="inlineStr">
        <is>
          <t>IVA en la conciliación</t>
        </is>
      </c>
      <c r="H15" s="139" t="inlineStr">
        <is>
          <t>Diferencia</t>
        </is>
      </c>
      <c r="I15" s="139" t="inlineStr">
        <is>
          <t>Estatus</t>
        </is>
      </c>
      <c r="J15" s="139" t="inlineStr">
        <is>
          <t>Observación</t>
        </is>
      </c>
      <c r="K15" s="139" t="inlineStr">
        <is>
          <t>Diario</t>
        </is>
      </c>
    </row>
    <row r="16" ht="22.5" customHeight="1" s="100">
      <c r="A16" s="141" t="n"/>
      <c r="B16" s="141" t="n"/>
      <c r="C16" s="141" t="n"/>
      <c r="D16" s="141" t="n"/>
      <c r="E16" s="141" t="n"/>
      <c r="F16" s="143" t="n"/>
      <c r="G16" s="143">
        <f>IF(E16="","",SUMIFS(Conciliación!$Y$8:$Y$114,Conciliación!$O$8:$O$114,E16,Conciliación!$AJ$8:$AJ$114,IF(A16="Trasladado","Cobro","Pago")))</f>
        <v/>
      </c>
      <c r="H16" s="143">
        <f>IF(G16="","",ROUND(F16-G16,2))</f>
        <v/>
      </c>
      <c r="I16" s="145">
        <f>IF(ISNUMBER(SEARCH("CSH1",K16)),"Conciliado (validar)",IF(E16="","Conciliado (revisar)",IF(AND(ABS(F16)&lt;0.01,ABS(G16)&lt;0.01),"Conciliado",IF(G16=0,"No identificado",IF(ABS(H16)&gt;Reglas!$C$7,"Conciliado (revisar)","Conciliado")))))</f>
        <v/>
      </c>
      <c r="J16" s="146" t="n"/>
      <c r="K16" s="141" t="n"/>
    </row>
    <row r="17" ht="22.5" customHeight="1" s="100">
      <c r="A17" s="141" t="n"/>
      <c r="B17" s="141" t="n"/>
      <c r="C17" s="141" t="n"/>
      <c r="D17" s="141" t="n"/>
      <c r="E17" s="141" t="n"/>
      <c r="F17" s="143" t="n"/>
      <c r="G17" s="143">
        <f>IF(E17="","",SUMIFS(Conciliación!$Y$8:$Y$114,Conciliación!$O$8:$O$114,E17,Conciliación!$AJ$8:$AJ$114,IF(A17="Trasladado","Cobro","Pago")))</f>
        <v/>
      </c>
      <c r="H17" s="143">
        <f>IF(G17="","",ROUND(F17-G17,2))</f>
        <v/>
      </c>
      <c r="I17" s="145">
        <f>IF(ISNUMBER(SEARCH("CSH1",K17)),"Conciliado (validar)",IF(E17="","Conciliado (revisar)",IF(AND(ABS(F17)&lt;0.01,ABS(G17)&lt;0.01),"Conciliado",IF(G17=0,"No identificado",IF(ABS(H17)&gt;Reglas!$C$7,"Conciliado (revisar)","Conciliado")))))</f>
        <v/>
      </c>
      <c r="J17" s="146" t="n"/>
      <c r="K17" s="141" t="n"/>
    </row>
    <row r="18" ht="22.5" customHeight="1" s="100">
      <c r="A18" s="141" t="n"/>
      <c r="B18" s="141" t="n"/>
      <c r="C18" s="141" t="n"/>
      <c r="D18" s="141" t="n"/>
      <c r="E18" s="141" t="n"/>
      <c r="F18" s="143" t="n"/>
      <c r="G18" s="143">
        <f>IF(E18="","",SUMIFS(Conciliación!$Y$8:$Y$114,Conciliación!$O$8:$O$114,E18,Conciliación!$AJ$8:$AJ$114,IF(A18="Trasladado","Cobro","Pago")))</f>
        <v/>
      </c>
      <c r="H18" s="143">
        <f>IF(G18="","",ROUND(F18-G18,2))</f>
        <v/>
      </c>
      <c r="I18" s="145">
        <f>IF(ISNUMBER(SEARCH("CSH1",K18)),"Conciliado (validar)",IF(E18="","Conciliado (revisar)",IF(AND(ABS(F18)&lt;0.01,ABS(G18)&lt;0.01),"Conciliado",IF(G18=0,"No identificado",IF(ABS(H18)&gt;Reglas!$C$7,"Conciliado (revisar)","Conciliado")))))</f>
        <v/>
      </c>
      <c r="J18" s="146" t="n"/>
      <c r="K18" s="141" t="n"/>
    </row>
    <row r="19" ht="22.5" customHeight="1" s="100">
      <c r="A19" s="141" t="n"/>
      <c r="B19" s="141" t="n"/>
      <c r="C19" s="141" t="n"/>
      <c r="D19" s="141" t="n"/>
      <c r="E19" s="141" t="n"/>
      <c r="F19" s="143" t="n"/>
      <c r="G19" s="143">
        <f>IF(E19="","",SUMIFS(Conciliación!$Y$8:$Y$114,Conciliación!$O$8:$O$114,E19,Conciliación!$AJ$8:$AJ$114,IF(A19="Trasladado","Cobro","Pago")))</f>
        <v/>
      </c>
      <c r="H19" s="143">
        <f>IF(G19="","",ROUND(F19-G19,2))</f>
        <v/>
      </c>
      <c r="I19" s="145">
        <f>IF(ISNUMBER(SEARCH("CSH1",K19)),"Conciliado (validar)",IF(E19="","Conciliado (revisar)",IF(AND(ABS(F19)&lt;0.01,ABS(G19)&lt;0.01),"Conciliado",IF(G19=0,"No identificado",IF(ABS(H19)&gt;Reglas!$C$7,"Conciliado (revisar)","Conciliado")))))</f>
        <v/>
      </c>
      <c r="J19" s="146" t="n"/>
      <c r="K19" s="141" t="n"/>
    </row>
    <row r="20" ht="22.5" customHeight="1" s="100">
      <c r="A20" s="141" t="n"/>
      <c r="B20" s="141" t="n"/>
      <c r="C20" s="141" t="n"/>
      <c r="D20" s="141" t="n"/>
      <c r="E20" s="141" t="n"/>
      <c r="F20" s="143" t="n"/>
      <c r="G20" s="143">
        <f>IF(E20="","",SUMIFS(Conciliación!$Y$8:$Y$114,Conciliación!$O$8:$O$114,E20,Conciliación!$AJ$8:$AJ$114,IF(A20="Trasladado","Cobro","Pago")))</f>
        <v/>
      </c>
      <c r="H20" s="143">
        <f>IF(G20="","",ROUND(F20-G20,2))</f>
        <v/>
      </c>
      <c r="I20" s="145">
        <f>IF(ISNUMBER(SEARCH("CSH1",K20)),"Conciliado (validar)",IF(E20="","Conciliado (revisar)",IF(AND(ABS(F20)&lt;0.01,ABS(G20)&lt;0.01),"Conciliado",IF(G20=0,"No identificado",IF(ABS(H20)&gt;Reglas!$C$7,"Conciliado (revisar)","Conciliado")))))</f>
        <v/>
      </c>
      <c r="J20" s="146" t="n"/>
      <c r="K20" s="141" t="n"/>
    </row>
    <row r="21" ht="22.5" customHeight="1" s="100">
      <c r="A21" s="141" t="n"/>
      <c r="B21" s="141" t="n"/>
      <c r="C21" s="141" t="n"/>
      <c r="D21" s="141" t="n"/>
      <c r="E21" s="141" t="n"/>
      <c r="F21" s="143" t="n"/>
      <c r="G21" s="143">
        <f>IF(E21="","",SUMIFS(Conciliación!$Y$8:$Y$114,Conciliación!$O$8:$O$114,E21,Conciliación!$AJ$8:$AJ$114,IF(A21="Trasladado","Cobro","Pago")))</f>
        <v/>
      </c>
      <c r="H21" s="143">
        <f>IF(G21="","",ROUND(F21-G21,2))</f>
        <v/>
      </c>
      <c r="I21" s="145">
        <f>IF(ISNUMBER(SEARCH("CSH1",K21)),"Conciliado (validar)",IF(E21="","Conciliado (revisar)",IF(AND(ABS(F21)&lt;0.01,ABS(G21)&lt;0.01),"Conciliado",IF(G21=0,"No identificado",IF(ABS(H21)&gt;Reglas!$C$7,"Conciliado (revisar)","Conciliado")))))</f>
        <v/>
      </c>
      <c r="J21" s="146" t="n"/>
      <c r="K21" s="141" t="n"/>
    </row>
    <row r="22" ht="22.5" customHeight="1" s="100">
      <c r="A22" s="141" t="n"/>
      <c r="B22" s="141" t="n"/>
      <c r="C22" s="141" t="n"/>
      <c r="D22" s="141" t="n"/>
      <c r="E22" s="141" t="n"/>
      <c r="F22" s="143" t="n"/>
      <c r="G22" s="143">
        <f>IF(E22="","",SUMIFS(Conciliación!$Y$8:$Y$114,Conciliación!$O$8:$O$114,E22,Conciliación!$AJ$8:$AJ$114,IF(A22="Trasladado","Cobro","Pago")))</f>
        <v/>
      </c>
      <c r="H22" s="143">
        <f>IF(G22="","",ROUND(F22-G22,2))</f>
        <v/>
      </c>
      <c r="I22" s="145">
        <f>IF(ISNUMBER(SEARCH("CSH1",K22)),"Conciliado (validar)",IF(E22="","Conciliado (revisar)",IF(AND(ABS(F22)&lt;0.01,ABS(G22)&lt;0.01),"Conciliado",IF(G22=0,"No identificado",IF(ABS(H22)&gt;Reglas!$C$7,"Conciliado (revisar)","Conciliado")))))</f>
        <v/>
      </c>
      <c r="J22" s="146" t="n"/>
      <c r="K22" s="141" t="n"/>
    </row>
    <row r="23" ht="22.5" customHeight="1" s="100">
      <c r="A23" s="141" t="n"/>
      <c r="B23" s="141" t="n"/>
      <c r="C23" s="141" t="n"/>
      <c r="D23" s="141" t="n"/>
      <c r="E23" s="141" t="n"/>
      <c r="F23" s="143" t="n"/>
      <c r="G23" s="143">
        <f>IF(E23="","",SUMIFS(Conciliación!$Y$8:$Y$114,Conciliación!$O$8:$O$114,E23,Conciliación!$AJ$8:$AJ$114,IF(A23="Trasladado","Cobro","Pago")))</f>
        <v/>
      </c>
      <c r="H23" s="143">
        <f>IF(G23="","",ROUND(F23-G23,2))</f>
        <v/>
      </c>
      <c r="I23" s="145">
        <f>IF(ISNUMBER(SEARCH("CSH1",K23)),"Conciliado (validar)",IF(E23="","Conciliado (revisar)",IF(AND(ABS(F23)&lt;0.01,ABS(G23)&lt;0.01),"Conciliado",IF(G23=0,"No identificado",IF(ABS(H23)&gt;Reglas!$C$7,"Conciliado (revisar)","Conciliado")))))</f>
        <v/>
      </c>
      <c r="J23" s="146" t="n"/>
      <c r="K23" s="141" t="n"/>
    </row>
    <row r="24" ht="22.5" customHeight="1" s="100">
      <c r="A24" s="141" t="n"/>
      <c r="B24" s="141" t="n"/>
      <c r="C24" s="141" t="n"/>
      <c r="D24" s="141" t="n"/>
      <c r="E24" s="141" t="n"/>
      <c r="F24" s="143" t="n"/>
      <c r="G24" s="143">
        <f>IF(E24="","",SUMIFS(Conciliación!$Y$8:$Y$114,Conciliación!$O$8:$O$114,E24,Conciliación!$AJ$8:$AJ$114,IF(A24="Trasladado","Cobro","Pago")))</f>
        <v/>
      </c>
      <c r="H24" s="143">
        <f>IF(G24="","",ROUND(F24-G24,2))</f>
        <v/>
      </c>
      <c r="I24" s="145">
        <f>IF(ISNUMBER(SEARCH("CSH1",K24)),"Conciliado (validar)",IF(E24="","Conciliado (revisar)",IF(AND(ABS(F24)&lt;0.01,ABS(G24)&lt;0.01),"Conciliado",IF(G24=0,"No identificado",IF(ABS(H24)&gt;Reglas!$C$7,"Conciliado (revisar)","Conciliado")))))</f>
        <v/>
      </c>
      <c r="J24" s="146" t="n"/>
      <c r="K24" s="141" t="n"/>
    </row>
    <row r="25" ht="22.5" customHeight="1" s="100">
      <c r="A25" s="141" t="n"/>
      <c r="B25" s="141" t="n"/>
      <c r="C25" s="141" t="n"/>
      <c r="D25" s="141" t="n"/>
      <c r="E25" s="141" t="n"/>
      <c r="F25" s="143" t="n"/>
      <c r="G25" s="143">
        <f>IF(E25="","",SUMIFS(Conciliación!$Y$8:$Y$114,Conciliación!$O$8:$O$114,E25,Conciliación!$AJ$8:$AJ$114,IF(A25="Trasladado","Cobro","Pago")))</f>
        <v/>
      </c>
      <c r="H25" s="143">
        <f>IF(G25="","",ROUND(F25-G25,2))</f>
        <v/>
      </c>
      <c r="I25" s="145">
        <f>IF(ISNUMBER(SEARCH("CSH1",K25)),"Conciliado (validar)",IF(E25="","Conciliado (revisar)",IF(AND(ABS(F25)&lt;0.01,ABS(G25)&lt;0.01),"Conciliado",IF(G25=0,"No identificado",IF(ABS(H25)&gt;Reglas!$C$7,"Conciliado (revisar)","Conciliado")))))</f>
        <v/>
      </c>
      <c r="J25" s="146" t="n"/>
      <c r="K25" s="141" t="n"/>
    </row>
    <row r="26" ht="22.5" customHeight="1" s="100">
      <c r="A26" s="141" t="n"/>
      <c r="B26" s="141" t="n"/>
      <c r="C26" s="141" t="n"/>
      <c r="D26" s="141" t="n"/>
      <c r="E26" s="141" t="n"/>
      <c r="F26" s="143" t="n"/>
      <c r="G26" s="143">
        <f>IF(E26="","",SUMIFS(Conciliación!$Y$8:$Y$114,Conciliación!$O$8:$O$114,E26,Conciliación!$AJ$8:$AJ$114,IF(A26="Trasladado","Cobro","Pago")))</f>
        <v/>
      </c>
      <c r="H26" s="143">
        <f>IF(G26="","",ROUND(F26-G26,2))</f>
        <v/>
      </c>
      <c r="I26" s="145">
        <f>IF(ISNUMBER(SEARCH("CSH1",K26)),"Conciliado (validar)",IF(E26="","Conciliado (revisar)",IF(AND(ABS(F26)&lt;0.01,ABS(G26)&lt;0.01),"Conciliado",IF(G26=0,"No identificado",IF(ABS(H26)&gt;Reglas!$C$7,"Conciliado (revisar)","Conciliado")))))</f>
        <v/>
      </c>
      <c r="J26" s="146" t="n"/>
      <c r="K26" s="141" t="n"/>
    </row>
    <row r="27" ht="22.5" customHeight="1" s="100">
      <c r="A27" s="141" t="n"/>
      <c r="B27" s="141" t="n"/>
      <c r="C27" s="141" t="n"/>
      <c r="D27" s="141" t="n"/>
      <c r="E27" s="141" t="n"/>
      <c r="F27" s="143" t="n"/>
      <c r="G27" s="143">
        <f>IF(E27="","",SUMIFS(Conciliación!$Y$8:$Y$114,Conciliación!$O$8:$O$114,E27,Conciliación!$AJ$8:$AJ$114,IF(A27="Trasladado","Cobro","Pago")))</f>
        <v/>
      </c>
      <c r="H27" s="143">
        <f>IF(G27="","",ROUND(F27-G27,2))</f>
        <v/>
      </c>
      <c r="I27" s="145">
        <f>IF(ISNUMBER(SEARCH("CSH1",K27)),"Conciliado (validar)",IF(E27="","Conciliado (revisar)",IF(AND(ABS(F27)&lt;0.01,ABS(G27)&lt;0.01),"Conciliado",IF(G27=0,"No identificado",IF(ABS(H27)&gt;Reglas!$C$7,"Conciliado (revisar)","Conciliado")))))</f>
        <v/>
      </c>
      <c r="J27" s="146" t="n"/>
      <c r="K27" s="141" t="n"/>
    </row>
    <row r="28" ht="14.25" customHeight="1" s="100">
      <c r="A28" s="141" t="n"/>
      <c r="B28" s="141" t="n"/>
      <c r="C28" s="141" t="n"/>
      <c r="D28" s="141" t="n"/>
      <c r="E28" s="141" t="n"/>
      <c r="F28" s="143" t="n"/>
      <c r="G28" s="143">
        <f>IF(E28="","",SUMIFS(Conciliación!$Y$8:$Y$114,Conciliación!$O$8:$O$114,E28,Conciliación!$AJ$8:$AJ$114,IF(A28="Trasladado","Cobro","Pago")))</f>
        <v/>
      </c>
      <c r="H28" s="143">
        <f>IF(G28="","",ROUND(F28-G28,2))</f>
        <v/>
      </c>
      <c r="I28" s="145">
        <f>IF(ISNUMBER(SEARCH("CSH1",K28)),"Conciliado (validar)",IF(E28="","Conciliado (revisar)",IF(AND(ABS(F28)&lt;0.01,ABS(G28)&lt;0.01),"Conciliado",IF(G28=0,"No identificado",IF(ABS(H28)&gt;Reglas!$C$7,"Conciliado (revisar)","Conciliado")))))</f>
        <v/>
      </c>
      <c r="J28" s="146" t="n"/>
      <c r="K28" s="141" t="n"/>
    </row>
    <row r="29" ht="22.5" customHeight="1" s="100">
      <c r="A29" s="141" t="n"/>
      <c r="B29" s="141" t="n"/>
      <c r="C29" s="141" t="n"/>
      <c r="D29" s="141" t="n"/>
      <c r="E29" s="141" t="n"/>
      <c r="F29" s="143" t="n"/>
      <c r="G29" s="143">
        <f>IF(E29="","",SUMIFS(Conciliación!$Y$8:$Y$114,Conciliación!$O$8:$O$114,E29,Conciliación!$AJ$8:$AJ$114,IF(A29="Trasladado","Cobro","Pago")))</f>
        <v/>
      </c>
      <c r="H29" s="143">
        <f>IF(G29="","",ROUND(F29-G29,2))</f>
        <v/>
      </c>
      <c r="I29" s="145">
        <f>IF(ISNUMBER(SEARCH("CSH1",K29)),"Conciliado (validar)",IF(E29="","Conciliado (revisar)",IF(AND(ABS(F29)&lt;0.01,ABS(G29)&lt;0.01),"Conciliado",IF(G29=0,"No identificado",IF(ABS(H29)&gt;Reglas!$C$7,"Conciliado (revisar)","Conciliado")))))</f>
        <v/>
      </c>
      <c r="J29" s="146" t="n"/>
      <c r="K29" s="141" t="n"/>
    </row>
    <row r="30" ht="22.5" customHeight="1" s="100">
      <c r="A30" s="141" t="n"/>
      <c r="B30" s="141" t="n"/>
      <c r="C30" s="141" t="n"/>
      <c r="D30" s="141" t="n"/>
      <c r="E30" s="141" t="n"/>
      <c r="F30" s="143" t="n"/>
      <c r="G30" s="143">
        <f>IF(E30="","",SUMIFS(Conciliación!$Y$8:$Y$114,Conciliación!$O$8:$O$114,E30,Conciliación!$AJ$8:$AJ$114,IF(A30="Trasladado","Cobro","Pago")))</f>
        <v/>
      </c>
      <c r="H30" s="143">
        <f>IF(G30="","",ROUND(F30-G30,2))</f>
        <v/>
      </c>
      <c r="I30" s="145">
        <f>IF(ISNUMBER(SEARCH("CSH1",K30)),"Conciliado (validar)",IF(E30="","Conciliado (revisar)",IF(AND(ABS(F30)&lt;0.01,ABS(G30)&lt;0.01),"Conciliado",IF(G30=0,"No identificado",IF(ABS(H30)&gt;Reglas!$C$7,"Conciliado (revisar)","Conciliado")))))</f>
        <v/>
      </c>
      <c r="J30" s="146" t="n"/>
      <c r="K30" s="141" t="n"/>
    </row>
    <row r="31" ht="14.25" customHeight="1" s="100">
      <c r="A31" s="141" t="n"/>
      <c r="B31" s="141" t="n"/>
      <c r="C31" s="141" t="n"/>
      <c r="D31" s="141" t="n"/>
      <c r="E31" s="141" t="n"/>
      <c r="F31" s="143" t="n"/>
      <c r="G31" s="143">
        <f>IF(E31="","",SUMIFS(Conciliación!$Y$8:$Y$114,Conciliación!$O$8:$O$114,E31,Conciliación!$AJ$8:$AJ$114,IF(A31="Trasladado","Cobro","Pago")))</f>
        <v/>
      </c>
      <c r="H31" s="143">
        <f>IF(G31="","",ROUND(F31-G31,2))</f>
        <v/>
      </c>
      <c r="I31" s="145">
        <f>IF(ISNUMBER(SEARCH("CSH1",K31)),"Conciliado (validar)",IF(E31="","Conciliado (revisar)",IF(AND(ABS(F31)&lt;0.01,ABS(G31)&lt;0.01),"Conciliado",IF(G31=0,"No identificado",IF(ABS(H31)&gt;Reglas!$C$7,"Conciliado (revisar)","Conciliado")))))</f>
        <v/>
      </c>
      <c r="J31" s="146" t="n"/>
      <c r="K31" s="141" t="n"/>
    </row>
    <row r="32" ht="22.5" customHeight="1" s="100">
      <c r="A32" s="141" t="n"/>
      <c r="B32" s="141" t="n"/>
      <c r="C32" s="141" t="n"/>
      <c r="D32" s="141" t="n"/>
      <c r="E32" s="141" t="n"/>
      <c r="F32" s="143" t="n"/>
      <c r="G32" s="143">
        <f>IF(E32="","",SUMIFS(Conciliación!$Y$8:$Y$114,Conciliación!$O$8:$O$114,E32,Conciliación!$AJ$8:$AJ$114,IF(A32="Trasladado","Cobro","Pago")))</f>
        <v/>
      </c>
      <c r="H32" s="143">
        <f>IF(G32="","",ROUND(F32-G32,2))</f>
        <v/>
      </c>
      <c r="I32" s="145">
        <f>IF(ISNUMBER(SEARCH("CSH1",K32)),"Conciliado (validar)",IF(E32="","Conciliado (revisar)",IF(AND(ABS(F32)&lt;0.01,ABS(G32)&lt;0.01),"Conciliado",IF(G32=0,"No identificado",IF(ABS(H32)&gt;Reglas!$C$7,"Conciliado (revisar)","Conciliado")))))</f>
        <v/>
      </c>
      <c r="J32" s="146" t="n"/>
      <c r="K32" s="141" t="n"/>
    </row>
    <row r="33" ht="22.5" customHeight="1" s="100">
      <c r="A33" s="141" t="n"/>
      <c r="B33" s="141" t="n"/>
      <c r="C33" s="141" t="n"/>
      <c r="D33" s="141" t="n"/>
      <c r="E33" s="141" t="n"/>
      <c r="F33" s="143" t="n"/>
      <c r="G33" s="143">
        <f>IF(E33="","",SUMIFS(Conciliación!$Y$8:$Y$114,Conciliación!$O$8:$O$114,E33,Conciliación!$AJ$8:$AJ$114,IF(A33="Trasladado","Cobro","Pago")))</f>
        <v/>
      </c>
      <c r="H33" s="143">
        <f>IF(G33="","",ROUND(F33-G33,2))</f>
        <v/>
      </c>
      <c r="I33" s="145">
        <f>IF(ISNUMBER(SEARCH("CSH1",K33)),"Conciliado (validar)",IF(E33="","Conciliado (revisar)",IF(AND(ABS(F33)&lt;0.01,ABS(G33)&lt;0.01),"Conciliado",IF(G33=0,"No identificado",IF(ABS(H33)&gt;Reglas!$C$7,"Conciliado (revisar)","Conciliado")))))</f>
        <v/>
      </c>
      <c r="J33" s="146" t="n"/>
      <c r="K33" s="141" t="n"/>
    </row>
    <row r="34" ht="22.5" customHeight="1" s="100">
      <c r="A34" s="141" t="n"/>
      <c r="B34" s="141" t="n"/>
      <c r="C34" s="141" t="n"/>
      <c r="D34" s="141" t="n"/>
      <c r="E34" s="141" t="n"/>
      <c r="F34" s="143" t="n"/>
      <c r="G34" s="143">
        <f>IF(E34="","",SUMIFS(Conciliación!$Y$8:$Y$114,Conciliación!$O$8:$O$114,E34,Conciliación!$AJ$8:$AJ$114,IF(A34="Trasladado","Cobro","Pago")))</f>
        <v/>
      </c>
      <c r="H34" s="143">
        <f>IF(G34="","",ROUND(F34-G34,2))</f>
        <v/>
      </c>
      <c r="I34" s="145">
        <f>IF(ISNUMBER(SEARCH("CSH1",K34)),"Conciliado (validar)",IF(E34="","Conciliado (revisar)",IF(AND(ABS(F34)&lt;0.01,ABS(G34)&lt;0.01),"Conciliado",IF(G34=0,"No identificado",IF(ABS(H34)&gt;Reglas!$C$7,"Conciliado (revisar)","Conciliado")))))</f>
        <v/>
      </c>
      <c r="J34" s="146" t="n"/>
      <c r="K34" s="141" t="n"/>
    </row>
    <row r="35" ht="22.5" customHeight="1" s="100">
      <c r="A35" s="141" t="n"/>
      <c r="B35" s="141" t="n"/>
      <c r="C35" s="141" t="n"/>
      <c r="D35" s="141" t="n"/>
      <c r="E35" s="141" t="n"/>
      <c r="F35" s="143" t="n"/>
      <c r="G35" s="143">
        <f>IF(E35="","",SUMIFS(Conciliación!$Y$8:$Y$114,Conciliación!$O$8:$O$114,E35,Conciliación!$AJ$8:$AJ$114,IF(A35="Trasladado","Cobro","Pago")))</f>
        <v/>
      </c>
      <c r="H35" s="143">
        <f>IF(G35="","",ROUND(F35-G35,2))</f>
        <v/>
      </c>
      <c r="I35" s="145">
        <f>IF(ISNUMBER(SEARCH("CSH1",K35)),"Conciliado (validar)",IF(E35="","Conciliado (revisar)",IF(AND(ABS(F35)&lt;0.01,ABS(G35)&lt;0.01),"Conciliado",IF(G35=0,"No identificado",IF(ABS(H35)&gt;Reglas!$C$7,"Conciliado (revisar)","Conciliado")))))</f>
        <v/>
      </c>
      <c r="J35" s="146" t="n"/>
      <c r="K35" s="141" t="n"/>
    </row>
    <row r="36" ht="22.5" customHeight="1" s="100">
      <c r="A36" s="141" t="n"/>
      <c r="B36" s="141" t="n"/>
      <c r="C36" s="141" t="n"/>
      <c r="D36" s="141" t="n"/>
      <c r="E36" s="141" t="n"/>
      <c r="F36" s="143" t="n"/>
      <c r="G36" s="143">
        <f>IF(E36="","",SUMIFS(Conciliación!$Y$8:$Y$114,Conciliación!$O$8:$O$114,E36,Conciliación!$AJ$8:$AJ$114,IF(A36="Trasladado","Cobro","Pago")))</f>
        <v/>
      </c>
      <c r="H36" s="143">
        <f>IF(G36="","",ROUND(F36-G36,2))</f>
        <v/>
      </c>
      <c r="I36" s="145">
        <f>IF(ISNUMBER(SEARCH("CSH1",K36)),"Conciliado (validar)",IF(E36="","Conciliado (revisar)",IF(AND(ABS(F36)&lt;0.01,ABS(G36)&lt;0.01),"Conciliado",IF(G36=0,"No identificado",IF(ABS(H36)&gt;Reglas!$C$7,"Conciliado (revisar)","Conciliado")))))</f>
        <v/>
      </c>
      <c r="J36" s="146" t="n"/>
      <c r="K36" s="141" t="n"/>
    </row>
    <row r="37" ht="22.5" customHeight="1" s="100">
      <c r="A37" s="141" t="n"/>
      <c r="B37" s="141" t="n"/>
      <c r="C37" s="141" t="n"/>
      <c r="D37" s="141" t="n"/>
      <c r="E37" s="141" t="n"/>
      <c r="F37" s="143" t="n"/>
      <c r="G37" s="143">
        <f>IF(E37="","",SUMIFS(Conciliación!$Y$8:$Y$114,Conciliación!$O$8:$O$114,E37,Conciliación!$AJ$8:$AJ$114,IF(A37="Trasladado","Cobro","Pago")))</f>
        <v/>
      </c>
      <c r="H37" s="143">
        <f>IF(G37="","",ROUND(F37-G37,2))</f>
        <v/>
      </c>
      <c r="I37" s="145">
        <f>IF(ISNUMBER(SEARCH("CSH1",K37)),"Conciliado (validar)",IF(E37="","Conciliado (revisar)",IF(AND(ABS(F37)&lt;0.01,ABS(G37)&lt;0.01),"Conciliado",IF(G37=0,"No identificado",IF(ABS(H37)&gt;Reglas!$C$7,"Conciliado (revisar)","Conciliado")))))</f>
        <v/>
      </c>
      <c r="J37" s="146" t="n"/>
      <c r="K37" s="141" t="n"/>
    </row>
    <row r="38" ht="22.5" customHeight="1" s="100">
      <c r="A38" s="141" t="n"/>
      <c r="B38" s="141" t="n"/>
      <c r="C38" s="141" t="n"/>
      <c r="D38" s="141" t="n"/>
      <c r="E38" s="141" t="n"/>
      <c r="F38" s="143" t="n"/>
      <c r="G38" s="143">
        <f>IF(E38="","",SUMIFS(Conciliación!$Y$8:$Y$114,Conciliación!$O$8:$O$114,E38,Conciliación!$AJ$8:$AJ$114,IF(A38="Trasladado","Cobro","Pago")))</f>
        <v/>
      </c>
      <c r="H38" s="143">
        <f>IF(G38="","",ROUND(F38-G38,2))</f>
        <v/>
      </c>
      <c r="I38" s="145">
        <f>IF(ISNUMBER(SEARCH("CSH1",K38)),"Conciliado (validar)",IF(E38="","Conciliado (revisar)",IF(AND(ABS(F38)&lt;0.01,ABS(G38)&lt;0.01),"Conciliado",IF(G38=0,"No identificado",IF(ABS(H38)&gt;Reglas!$C$7,"Conciliado (revisar)","Conciliado")))))</f>
        <v/>
      </c>
      <c r="J38" s="146" t="n"/>
      <c r="K38" s="141" t="n"/>
    </row>
    <row r="39" ht="22.5" customHeight="1" s="100">
      <c r="A39" s="141" t="n"/>
      <c r="B39" s="141" t="n"/>
      <c r="C39" s="141" t="n"/>
      <c r="D39" s="141" t="n"/>
      <c r="E39" s="141" t="n"/>
      <c r="F39" s="143" t="n"/>
      <c r="G39" s="143">
        <f>IF(E39="","",SUMIFS(Conciliación!$Y$8:$Y$114,Conciliación!$O$8:$O$114,E39,Conciliación!$AJ$8:$AJ$114,IF(A39="Trasladado","Cobro","Pago")))</f>
        <v/>
      </c>
      <c r="H39" s="143">
        <f>IF(G39="","",ROUND(F39-G39,2))</f>
        <v/>
      </c>
      <c r="I39" s="145">
        <f>IF(ISNUMBER(SEARCH("CSH1",K39)),"Conciliado (validar)",IF(E39="","Conciliado (revisar)",IF(AND(ABS(F39)&lt;0.01,ABS(G39)&lt;0.01),"Conciliado",IF(G39=0,"No identificado",IF(ABS(H39)&gt;Reglas!$C$7,"Conciliado (revisar)","Conciliado")))))</f>
        <v/>
      </c>
      <c r="J39" s="146" t="n"/>
      <c r="K39" s="141" t="n"/>
    </row>
    <row r="40" ht="22.5" customHeight="1" s="100">
      <c r="A40" s="141" t="n"/>
      <c r="B40" s="141" t="n"/>
      <c r="C40" s="141" t="n"/>
      <c r="D40" s="141" t="n"/>
      <c r="E40" s="141" t="n"/>
      <c r="F40" s="143" t="n"/>
      <c r="G40" s="143">
        <f>IF(E40="","",SUMIFS(Conciliación!$Y$8:$Y$114,Conciliación!$O$8:$O$114,E40,Conciliación!$AJ$8:$AJ$114,IF(A40="Trasladado","Cobro","Pago")))</f>
        <v/>
      </c>
      <c r="H40" s="143">
        <f>IF(G40="","",ROUND(F40-G40,2))</f>
        <v/>
      </c>
      <c r="I40" s="145">
        <f>IF(ISNUMBER(SEARCH("CSH1",K40)),"Conciliado (validar)",IF(E40="","Conciliado (revisar)",IF(AND(ABS(F40)&lt;0.01,ABS(G40)&lt;0.01),"Conciliado",IF(G40=0,"No identificado",IF(ABS(H40)&gt;Reglas!$C$7,"Conciliado (revisar)","Conciliado")))))</f>
        <v/>
      </c>
      <c r="J40" s="146" t="n"/>
      <c r="K40" s="141" t="n"/>
    </row>
    <row r="41" ht="22.5" customHeight="1" s="100">
      <c r="A41" s="141" t="n"/>
      <c r="B41" s="141" t="n"/>
      <c r="C41" s="141" t="n"/>
      <c r="D41" s="141" t="n"/>
      <c r="E41" s="141" t="n"/>
      <c r="F41" s="143" t="n"/>
      <c r="G41" s="143">
        <f>IF(E41="","",SUMIFS(Conciliación!$Y$8:$Y$114,Conciliación!$O$8:$O$114,E41,Conciliación!$AJ$8:$AJ$114,IF(A41="Trasladado","Cobro","Pago")))</f>
        <v/>
      </c>
      <c r="H41" s="143">
        <f>IF(G41="","",ROUND(F41-G41,2))</f>
        <v/>
      </c>
      <c r="I41" s="145">
        <f>IF(ISNUMBER(SEARCH("CSH1",K41)),"Conciliado (validar)",IF(E41="","Conciliado (revisar)",IF(AND(ABS(F41)&lt;0.01,ABS(G41)&lt;0.01),"Conciliado",IF(G41=0,"No identificado",IF(ABS(H41)&gt;Reglas!$C$7,"Conciliado (revisar)","Conciliado")))))</f>
        <v/>
      </c>
      <c r="J41" s="146" t="n"/>
      <c r="K41" s="141" t="n"/>
    </row>
    <row r="42" ht="22.5" customHeight="1" s="100">
      <c r="A42" s="141" t="n"/>
      <c r="B42" s="141" t="n"/>
      <c r="C42" s="141" t="n"/>
      <c r="D42" s="141" t="n"/>
      <c r="E42" s="141" t="n"/>
      <c r="F42" s="143" t="n"/>
      <c r="G42" s="143">
        <f>IF(E42="","",SUMIFS(Conciliación!$Y$8:$Y$114,Conciliación!$O$8:$O$114,E42,Conciliación!$AJ$8:$AJ$114,IF(A42="Trasladado","Cobro","Pago")))</f>
        <v/>
      </c>
      <c r="H42" s="143">
        <f>IF(G42="","",ROUND(F42-G42,2))</f>
        <v/>
      </c>
      <c r="I42" s="145">
        <f>IF(ISNUMBER(SEARCH("CSH1",K42)),"Conciliado (validar)",IF(E42="","Conciliado (revisar)",IF(AND(ABS(F42)&lt;0.01,ABS(G42)&lt;0.01),"Conciliado",IF(G42=0,"No identificado",IF(ABS(H42)&gt;Reglas!$C$7,"Conciliado (revisar)","Conciliado")))))</f>
        <v/>
      </c>
      <c r="J42" s="146" t="n"/>
      <c r="K42" s="141" t="n"/>
    </row>
    <row r="43" ht="22.5" customHeight="1" s="100">
      <c r="A43" s="141" t="n"/>
      <c r="B43" s="141" t="n"/>
      <c r="C43" s="141" t="n"/>
      <c r="D43" s="141" t="n"/>
      <c r="E43" s="141" t="n"/>
      <c r="F43" s="143" t="n"/>
      <c r="G43" s="143">
        <f>IF(E43="","",SUMIFS(Conciliación!$Y$8:$Y$114,Conciliación!$O$8:$O$114,E43,Conciliación!$AJ$8:$AJ$114,IF(A43="Trasladado","Cobro","Pago")))</f>
        <v/>
      </c>
      <c r="H43" s="143">
        <f>IF(G43="","",ROUND(F43-G43,2))</f>
        <v/>
      </c>
      <c r="I43" s="145">
        <f>IF(ISNUMBER(SEARCH("CSH1",K43)),"Conciliado (validar)",IF(E43="","Conciliado (revisar)",IF(AND(ABS(F43)&lt;0.01,ABS(G43)&lt;0.01),"Conciliado",IF(G43=0,"No identificado",IF(ABS(H43)&gt;Reglas!$C$7,"Conciliado (revisar)","Conciliado")))))</f>
        <v/>
      </c>
      <c r="J43" s="146" t="n"/>
      <c r="K43" s="141" t="n"/>
    </row>
    <row r="44" ht="22.5" customHeight="1" s="100">
      <c r="A44" s="141" t="n"/>
      <c r="B44" s="141" t="n"/>
      <c r="C44" s="141" t="n"/>
      <c r="D44" s="141" t="n"/>
      <c r="E44" s="141" t="n"/>
      <c r="F44" s="143" t="n"/>
      <c r="G44" s="143">
        <f>IF(E44="","",SUMIFS(Conciliación!$Y$8:$Y$114,Conciliación!$O$8:$O$114,E44,Conciliación!$AJ$8:$AJ$114,IF(A44="Trasladado","Cobro","Pago")))</f>
        <v/>
      </c>
      <c r="H44" s="143">
        <f>IF(G44="","",ROUND(F44-G44,2))</f>
        <v/>
      </c>
      <c r="I44" s="145">
        <f>IF(ISNUMBER(SEARCH("CSH1",K44)),"Conciliado (validar)",IF(E44="","Conciliado (revisar)",IF(AND(ABS(F44)&lt;0.01,ABS(G44)&lt;0.01),"Conciliado",IF(G44=0,"No identificado",IF(ABS(H44)&gt;Reglas!$C$7,"Conciliado (revisar)","Conciliado")))))</f>
        <v/>
      </c>
      <c r="J44" s="146" t="n"/>
      <c r="K44" s="141" t="n"/>
    </row>
    <row r="45" ht="22.5" customHeight="1" s="100">
      <c r="A45" s="141" t="n"/>
      <c r="B45" s="141" t="n"/>
      <c r="C45" s="141" t="n"/>
      <c r="D45" s="141" t="n"/>
      <c r="E45" s="141" t="n"/>
      <c r="F45" s="143" t="n"/>
      <c r="G45" s="143">
        <f>IF(E45="","",SUMIFS(Conciliación!$Y$8:$Y$114,Conciliación!$O$8:$O$114,E45,Conciliación!$AJ$8:$AJ$114,IF(A45="Trasladado","Cobro","Pago")))</f>
        <v/>
      </c>
      <c r="H45" s="143">
        <f>IF(G45="","",ROUND(F45-G45,2))</f>
        <v/>
      </c>
      <c r="I45" s="145">
        <f>IF(ISNUMBER(SEARCH("CSH1",K45)),"Conciliado (validar)",IF(E45="","Conciliado (revisar)",IF(AND(ABS(F45)&lt;0.01,ABS(G45)&lt;0.01),"Conciliado",IF(G45=0,"No identificado",IF(ABS(H45)&gt;Reglas!$C$7,"Conciliado (revisar)","Conciliado")))))</f>
        <v/>
      </c>
      <c r="J45" s="146" t="n"/>
      <c r="K45" s="141" t="n"/>
    </row>
    <row r="46" ht="22.5" customHeight="1" s="100">
      <c r="A46" s="141" t="n"/>
      <c r="B46" s="141" t="n"/>
      <c r="C46" s="141" t="n"/>
      <c r="D46" s="141" t="n"/>
      <c r="E46" s="141" t="n"/>
      <c r="F46" s="143" t="n"/>
      <c r="G46" s="143">
        <f>IF(E46="","",SUMIFS(Conciliación!$Y$8:$Y$114,Conciliación!$O$8:$O$114,E46,Conciliación!$AJ$8:$AJ$114,IF(A46="Trasladado","Cobro","Pago")))</f>
        <v/>
      </c>
      <c r="H46" s="143">
        <f>IF(G46="","",ROUND(F46-G46,2))</f>
        <v/>
      </c>
      <c r="I46" s="145">
        <f>IF(ISNUMBER(SEARCH("CSH1",K46)),"Conciliado (validar)",IF(E46="","Conciliado (revisar)",IF(AND(ABS(F46)&lt;0.01,ABS(G46)&lt;0.01),"Conciliado",IF(G46=0,"No identificado",IF(ABS(H46)&gt;Reglas!$C$7,"Conciliado (revisar)","Conciliado")))))</f>
        <v/>
      </c>
      <c r="J46" s="146" t="n"/>
      <c r="K46" s="141" t="n"/>
    </row>
    <row r="47" ht="22.5" customHeight="1" s="100">
      <c r="A47" s="141" t="n"/>
      <c r="B47" s="141" t="n"/>
      <c r="C47" s="141" t="n"/>
      <c r="D47" s="141" t="n"/>
      <c r="E47" s="141" t="n"/>
      <c r="F47" s="143" t="n"/>
      <c r="G47" s="143">
        <f>IF(E47="","",SUMIFS(Conciliación!$Y$8:$Y$114,Conciliación!$O$8:$O$114,E47,Conciliación!$AJ$8:$AJ$114,IF(A47="Trasladado","Cobro","Pago")))</f>
        <v/>
      </c>
      <c r="H47" s="143">
        <f>IF(G47="","",ROUND(F47-G47,2))</f>
        <v/>
      </c>
      <c r="I47" s="145">
        <f>IF(ISNUMBER(SEARCH("CSH1",K47)),"Conciliado (validar)",IF(E47="","Conciliado (revisar)",IF(AND(ABS(F47)&lt;0.01,ABS(G47)&lt;0.01),"Conciliado",IF(G47=0,"No identificado",IF(ABS(H47)&gt;Reglas!$C$7,"Conciliado (revisar)","Conciliado")))))</f>
        <v/>
      </c>
      <c r="J47" s="146" t="n"/>
      <c r="K47" s="141" t="n"/>
    </row>
    <row r="48" ht="22.5" customHeight="1" s="100">
      <c r="A48" s="141" t="n"/>
      <c r="B48" s="141" t="n"/>
      <c r="C48" s="141" t="n"/>
      <c r="D48" s="141" t="n"/>
      <c r="E48" s="141" t="n"/>
      <c r="F48" s="143" t="n"/>
      <c r="G48" s="143">
        <f>IF(E48="","",SUMIFS(Conciliación!$Y$8:$Y$114,Conciliación!$O$8:$O$114,E48,Conciliación!$AJ$8:$AJ$114,IF(A48="Trasladado","Cobro","Pago")))</f>
        <v/>
      </c>
      <c r="H48" s="143">
        <f>IF(G48="","",ROUND(F48-G48,2))</f>
        <v/>
      </c>
      <c r="I48" s="145">
        <f>IF(ISNUMBER(SEARCH("CSH1",K48)),"Conciliado (validar)",IF(E48="","Conciliado (revisar)",IF(AND(ABS(F48)&lt;0.01,ABS(G48)&lt;0.01),"Conciliado",IF(G48=0,"No identificado",IF(ABS(H48)&gt;Reglas!$C$7,"Conciliado (revisar)","Conciliado")))))</f>
        <v/>
      </c>
      <c r="J48" s="146" t="n"/>
      <c r="K48" s="141" t="n"/>
    </row>
    <row r="49" ht="22.5" customHeight="1" s="100">
      <c r="A49" s="141" t="n"/>
      <c r="B49" s="141" t="n"/>
      <c r="C49" s="141" t="n"/>
      <c r="D49" s="141" t="n"/>
      <c r="E49" s="141" t="n"/>
      <c r="F49" s="143" t="n"/>
      <c r="G49" s="143">
        <f>IF(E49="","",SUMIFS(Conciliación!$Y$8:$Y$114,Conciliación!$O$8:$O$114,E49,Conciliación!$AJ$8:$AJ$114,IF(A49="Trasladado","Cobro","Pago")))</f>
        <v/>
      </c>
      <c r="H49" s="143">
        <f>IF(G49="","",ROUND(F49-G49,2))</f>
        <v/>
      </c>
      <c r="I49" s="145">
        <f>IF(ISNUMBER(SEARCH("CSH1",K49)),"Conciliado (validar)",IF(E49="","Conciliado (revisar)",IF(AND(ABS(F49)&lt;0.01,ABS(G49)&lt;0.01),"Conciliado",IF(G49=0,"No identificado",IF(ABS(H49)&gt;Reglas!$C$7,"Conciliado (revisar)","Conciliado")))))</f>
        <v/>
      </c>
      <c r="J49" s="146" t="n"/>
      <c r="K49" s="141" t="n"/>
    </row>
    <row r="50" ht="22.5" customHeight="1" s="100">
      <c r="A50" s="141" t="n"/>
      <c r="B50" s="141" t="n"/>
      <c r="C50" s="141" t="n"/>
      <c r="D50" s="141" t="n"/>
      <c r="E50" s="141" t="n"/>
      <c r="F50" s="143" t="n"/>
      <c r="G50" s="143">
        <f>IF(E50="","",SUMIFS(Conciliación!$Y$8:$Y$114,Conciliación!$O$8:$O$114,E50,Conciliación!$AJ$8:$AJ$114,IF(A50="Trasladado","Cobro","Pago")))</f>
        <v/>
      </c>
      <c r="H50" s="143">
        <f>IF(G50="","",ROUND(F50-G50,2))</f>
        <v/>
      </c>
      <c r="I50" s="145">
        <f>IF(ISNUMBER(SEARCH("CSH1",K50)),"Conciliado (validar)",IF(E50="","Conciliado (revisar)",IF(AND(ABS(F50)&lt;0.01,ABS(G50)&lt;0.01),"Conciliado",IF(G50=0,"No identificado",IF(ABS(H50)&gt;Reglas!$C$7,"Conciliado (revisar)","Conciliado")))))</f>
        <v/>
      </c>
      <c r="J50" s="146" t="n"/>
      <c r="K50" s="141" t="n"/>
    </row>
    <row r="51" ht="22.5" customHeight="1" s="100">
      <c r="A51" s="141" t="n"/>
      <c r="B51" s="141" t="n"/>
      <c r="C51" s="141" t="n"/>
      <c r="D51" s="141" t="n"/>
      <c r="E51" s="141" t="n"/>
      <c r="F51" s="143" t="n"/>
      <c r="G51" s="143">
        <f>IF(E51="","",SUMIFS(Conciliación!$Y$8:$Y$114,Conciliación!$O$8:$O$114,E51,Conciliación!$AJ$8:$AJ$114,IF(A51="Trasladado","Cobro","Pago")))</f>
        <v/>
      </c>
      <c r="H51" s="143">
        <f>IF(G51="","",ROUND(F51-G51,2))</f>
        <v/>
      </c>
      <c r="I51" s="145">
        <f>IF(ISNUMBER(SEARCH("CSH1",K51)),"Conciliado (validar)",IF(E51="","Conciliado (revisar)",IF(AND(ABS(F51)&lt;0.01,ABS(G51)&lt;0.01),"Conciliado",IF(G51=0,"No identificado",IF(ABS(H51)&gt;Reglas!$C$7,"Conciliado (revisar)","Conciliado")))))</f>
        <v/>
      </c>
      <c r="J51" s="146" t="n"/>
      <c r="K51" s="141" t="n"/>
    </row>
    <row r="52" ht="22.5" customHeight="1" s="100">
      <c r="A52" s="141" t="n"/>
      <c r="B52" s="141" t="n"/>
      <c r="C52" s="141" t="n"/>
      <c r="D52" s="141" t="n"/>
      <c r="E52" s="141" t="n"/>
      <c r="F52" s="143" t="n"/>
      <c r="G52" s="143">
        <f>IF(E52="","",SUMIFS(Conciliación!$Y$8:$Y$114,Conciliación!$O$8:$O$114,E52,Conciliación!$AJ$8:$AJ$114,IF(A52="Trasladado","Cobro","Pago")))</f>
        <v/>
      </c>
      <c r="H52" s="143">
        <f>IF(G52="","",ROUND(F52-G52,2))</f>
        <v/>
      </c>
      <c r="I52" s="145">
        <f>IF(ISNUMBER(SEARCH("CSH1",K52)),"Conciliado (validar)",IF(E52="","Conciliado (revisar)",IF(AND(ABS(F52)&lt;0.01,ABS(G52)&lt;0.01),"Conciliado",IF(G52=0,"No identificado",IF(ABS(H52)&gt;Reglas!$C$7,"Conciliado (revisar)","Conciliado")))))</f>
        <v/>
      </c>
      <c r="J52" s="146" t="n"/>
      <c r="K52" s="141" t="n"/>
    </row>
    <row r="53" ht="22.5" customHeight="1" s="100">
      <c r="A53" s="141" t="n"/>
      <c r="B53" s="141" t="n"/>
      <c r="C53" s="141" t="n"/>
      <c r="D53" s="141" t="n"/>
      <c r="E53" s="141" t="n"/>
      <c r="F53" s="143" t="n"/>
      <c r="G53" s="143">
        <f>IF(E53="","",SUMIFS(Conciliación!$Y$8:$Y$114,Conciliación!$O$8:$O$114,E53,Conciliación!$AJ$8:$AJ$114,IF(A53="Trasladado","Cobro","Pago")))</f>
        <v/>
      </c>
      <c r="H53" s="143">
        <f>IF(G53="","",ROUND(F53-G53,2))</f>
        <v/>
      </c>
      <c r="I53" s="145">
        <f>IF(ISNUMBER(SEARCH("CSH1",K53)),"Conciliado (validar)",IF(E53="","Conciliado (revisar)",IF(AND(ABS(F53)&lt;0.01,ABS(G53)&lt;0.01),"Conciliado",IF(G53=0,"No identificado",IF(ABS(H53)&gt;Reglas!$C$7,"Conciliado (revisar)","Conciliado")))))</f>
        <v/>
      </c>
      <c r="J53" s="146" t="n"/>
      <c r="K53" s="141" t="n"/>
    </row>
    <row r="54" ht="22.5" customHeight="1" s="100">
      <c r="A54" s="141" t="n"/>
      <c r="B54" s="141" t="n"/>
      <c r="C54" s="141" t="n"/>
      <c r="D54" s="141" t="n"/>
      <c r="E54" s="141" t="n"/>
      <c r="F54" s="143" t="n"/>
      <c r="G54" s="143">
        <f>IF(E54="","",SUMIFS(Conciliación!$Y$8:$Y$114,Conciliación!$O$8:$O$114,E54,Conciliación!$AJ$8:$AJ$114,IF(A54="Trasladado","Cobro","Pago")))</f>
        <v/>
      </c>
      <c r="H54" s="143">
        <f>IF(G54="","",ROUND(F54-G54,2))</f>
        <v/>
      </c>
      <c r="I54" s="145">
        <f>IF(ISNUMBER(SEARCH("CSH1",K54)),"Conciliado (validar)",IF(E54="","Conciliado (revisar)",IF(AND(ABS(F54)&lt;0.01,ABS(G54)&lt;0.01),"Conciliado",IF(G54=0,"No identificado",IF(ABS(H54)&gt;Reglas!$C$7,"Conciliado (revisar)","Conciliado")))))</f>
        <v/>
      </c>
      <c r="J54" s="146" t="n"/>
      <c r="K54" s="141" t="n"/>
    </row>
    <row r="55" ht="22.5" customHeight="1" s="100">
      <c r="A55" s="141" t="n"/>
      <c r="B55" s="141" t="n"/>
      <c r="C55" s="141" t="n"/>
      <c r="D55" s="141" t="n"/>
      <c r="E55" s="141" t="n"/>
      <c r="F55" s="143" t="n"/>
      <c r="G55" s="143">
        <f>IF(E55="","",SUMIFS(Conciliación!$Y$8:$Y$114,Conciliación!$O$8:$O$114,E55,Conciliación!$AJ$8:$AJ$114,IF(A55="Trasladado","Cobro","Pago")))</f>
        <v/>
      </c>
      <c r="H55" s="143">
        <f>IF(G55="","",ROUND(F55-G55,2))</f>
        <v/>
      </c>
      <c r="I55" s="145">
        <f>IF(ISNUMBER(SEARCH("CSH1",K55)),"Conciliado (validar)",IF(E55="","Conciliado (revisar)",IF(AND(ABS(F55)&lt;0.01,ABS(G55)&lt;0.01),"Conciliado",IF(G55=0,"No identificado",IF(ABS(H55)&gt;Reglas!$C$7,"Conciliado (revisar)","Conciliado")))))</f>
        <v/>
      </c>
      <c r="J55" s="146" t="n"/>
      <c r="K55" s="141" t="n"/>
    </row>
    <row r="56" ht="14.25" customHeight="1" s="100">
      <c r="A56" s="141" t="n"/>
      <c r="B56" s="141" t="n"/>
      <c r="C56" s="141" t="n"/>
      <c r="D56" s="141" t="n"/>
      <c r="E56" s="141" t="n"/>
      <c r="F56" s="143" t="n"/>
      <c r="G56" s="143">
        <f>IF(E56="","",SUMIFS(Conciliación!$Y$8:$Y$114,Conciliación!$O$8:$O$114,E56,Conciliación!$AJ$8:$AJ$114,IF(A56="Trasladado","Cobro","Pago")))</f>
        <v/>
      </c>
      <c r="H56" s="143">
        <f>IF(G56="","",ROUND(F56-G56,2))</f>
        <v/>
      </c>
      <c r="I56" s="145">
        <f>IF(ISNUMBER(SEARCH("CSH1",K56)),"Conciliado (validar)",IF(E56="","Conciliado (revisar)",IF(AND(ABS(F56)&lt;0.01,ABS(G56)&lt;0.01),"Conciliado",IF(G56=0,"No identificado",IF(ABS(H56)&gt;Reglas!$C$7,"Conciliado (revisar)","Conciliado")))))</f>
        <v/>
      </c>
      <c r="J56" s="146" t="n"/>
      <c r="K56" s="141" t="n"/>
    </row>
    <row r="57" ht="14.25" customHeight="1" s="100">
      <c r="A57" s="141" t="n"/>
      <c r="B57" s="141" t="n"/>
      <c r="C57" s="141" t="n"/>
      <c r="D57" s="141" t="n"/>
      <c r="E57" s="141" t="n"/>
      <c r="F57" s="143" t="n"/>
      <c r="G57" s="143">
        <f>IF(E57="","",SUMIFS(Conciliación!$Y$8:$Y$114,Conciliación!$O$8:$O$114,E57,Conciliación!$AJ$8:$AJ$114,IF(A57="Trasladado","Cobro","Pago")))</f>
        <v/>
      </c>
      <c r="H57" s="143">
        <f>IF(G57="","",ROUND(F57-G57,2))</f>
        <v/>
      </c>
      <c r="I57" s="145">
        <f>IF(ISNUMBER(SEARCH("CSH1",K57)),"Conciliado (validar)",IF(E57="","Conciliado (revisar)",IF(AND(ABS(F57)&lt;0.01,ABS(G57)&lt;0.01),"Conciliado",IF(G57=0,"No identificado",IF(ABS(H57)&gt;Reglas!$C$7,"Conciliado (revisar)","Conciliado")))))</f>
        <v/>
      </c>
      <c r="J57" s="146" t="n"/>
      <c r="K57" s="141" t="n"/>
    </row>
    <row r="58" ht="22.5" customHeight="1" s="100">
      <c r="A58" s="141" t="n"/>
      <c r="B58" s="141" t="n"/>
      <c r="C58" s="141" t="n"/>
      <c r="D58" s="141" t="n"/>
      <c r="E58" s="141" t="n"/>
      <c r="F58" s="143" t="n"/>
      <c r="G58" s="143">
        <f>IF(E58="","",SUMIFS(Conciliación!$Y$8:$Y$114,Conciliación!$O$8:$O$114,E58,Conciliación!$AJ$8:$AJ$114,IF(A58="Trasladado","Cobro","Pago")))</f>
        <v/>
      </c>
      <c r="H58" s="143">
        <f>IF(G58="","",ROUND(F58-G58,2))</f>
        <v/>
      </c>
      <c r="I58" s="145">
        <f>IF(ISNUMBER(SEARCH("CSH1",K58)),"Conciliado (validar)",IF(E58="","Conciliado (revisar)",IF(AND(ABS(F58)&lt;0.01,ABS(G58)&lt;0.01),"Conciliado",IF(G58=0,"No identificado",IF(ABS(H58)&gt;Reglas!$C$7,"Conciliado (revisar)","Conciliado")))))</f>
        <v/>
      </c>
      <c r="J58" s="146" t="n"/>
      <c r="K58" s="141" t="n"/>
    </row>
    <row r="59" ht="14.25" customHeight="1" s="100">
      <c r="A59" s="141" t="n"/>
      <c r="B59" s="141" t="n"/>
      <c r="C59" s="141" t="n"/>
      <c r="D59" s="141" t="n"/>
      <c r="E59" s="141" t="n"/>
      <c r="F59" s="143" t="n"/>
      <c r="G59" s="143">
        <f>IF(E59="","",SUMIFS(Conciliación!$Y$8:$Y$114,Conciliación!$O$8:$O$114,E59,Conciliación!$AJ$8:$AJ$114,IF(A59="Trasladado","Cobro","Pago")))</f>
        <v/>
      </c>
      <c r="H59" s="143">
        <f>IF(G59="","",ROUND(F59-G59,2))</f>
        <v/>
      </c>
      <c r="I59" s="145">
        <f>IF(ISNUMBER(SEARCH("CSH1",K59)),"Conciliado (validar)",IF(E59="","Conciliado (revisar)",IF(AND(ABS(F59)&lt;0.01,ABS(G59)&lt;0.01),"Conciliado",IF(G59=0,"No identificado",IF(ABS(H59)&gt;Reglas!$C$7,"Conciliado (revisar)","Conciliado")))))</f>
        <v/>
      </c>
      <c r="J59" s="146" t="n"/>
      <c r="K59" s="141" t="n"/>
    </row>
    <row r="60" ht="22.5" customHeight="1" s="100">
      <c r="A60" s="141" t="n"/>
      <c r="B60" s="141" t="n"/>
      <c r="C60" s="141" t="n"/>
      <c r="D60" s="141" t="n"/>
      <c r="E60" s="141" t="n"/>
      <c r="F60" s="143" t="n"/>
      <c r="G60" s="143">
        <f>IF(E60="","",SUMIFS(Conciliación!$Y$8:$Y$114,Conciliación!$O$8:$O$114,E60,Conciliación!$AJ$8:$AJ$114,IF(A60="Trasladado","Cobro","Pago")))</f>
        <v/>
      </c>
      <c r="H60" s="143">
        <f>IF(G60="","",ROUND(F60-G60,2))</f>
        <v/>
      </c>
      <c r="I60" s="145">
        <f>IF(ISNUMBER(SEARCH("CSH1",K60)),"Conciliado (validar)",IF(E60="","Conciliado (revisar)",IF(AND(ABS(F60)&lt;0.01,ABS(G60)&lt;0.01),"Conciliado",IF(G60=0,"No identificado",IF(ABS(H60)&gt;Reglas!$C$7,"Conciliado (revisar)","Conciliado")))))</f>
        <v/>
      </c>
      <c r="J60" s="146" t="n"/>
      <c r="K60" s="141" t="n"/>
    </row>
    <row r="61" ht="22.5" customHeight="1" s="100">
      <c r="A61" s="141" t="n"/>
      <c r="B61" s="141" t="n"/>
      <c r="C61" s="141" t="n"/>
      <c r="D61" s="141" t="n"/>
      <c r="E61" s="141" t="n"/>
      <c r="F61" s="143" t="n"/>
      <c r="G61" s="143">
        <f>IF(E61="","",SUMIFS(Conciliación!$Y$8:$Y$114,Conciliación!$O$8:$O$114,E61,Conciliación!$AJ$8:$AJ$114,IF(A61="Trasladado","Cobro","Pago")))</f>
        <v/>
      </c>
      <c r="H61" s="143">
        <f>IF(G61="","",ROUND(F61-G61,2))</f>
        <v/>
      </c>
      <c r="I61" s="145">
        <f>IF(ISNUMBER(SEARCH("CSH1",K61)),"Conciliado (validar)",IF(E61="","Conciliado (revisar)",IF(AND(ABS(F61)&lt;0.01,ABS(G61)&lt;0.01),"Conciliado",IF(G61=0,"No identificado",IF(ABS(H61)&gt;Reglas!$C$7,"Conciliado (revisar)","Conciliado")))))</f>
        <v/>
      </c>
      <c r="J61" s="146" t="n"/>
      <c r="K61" s="141" t="n"/>
    </row>
    <row r="62" ht="22.5" customHeight="1" s="100">
      <c r="A62" s="141" t="n"/>
      <c r="B62" s="141" t="n"/>
      <c r="C62" s="141" t="n"/>
      <c r="D62" s="141" t="n"/>
      <c r="E62" s="141" t="n"/>
      <c r="F62" s="143" t="n"/>
      <c r="G62" s="143">
        <f>IF(E62="","",SUMIFS(Conciliación!$Y$8:$Y$114,Conciliación!$O$8:$O$114,E62,Conciliación!$AJ$8:$AJ$114,IF(A62="Trasladado","Cobro","Pago")))</f>
        <v/>
      </c>
      <c r="H62" s="143">
        <f>IF(G62="","",ROUND(F62-G62,2))</f>
        <v/>
      </c>
      <c r="I62" s="145">
        <f>IF(ISNUMBER(SEARCH("CSH1",K62)),"Conciliado (validar)",IF(E62="","Conciliado (revisar)",IF(AND(ABS(F62)&lt;0.01,ABS(G62)&lt;0.01),"Conciliado",IF(G62=0,"No identificado",IF(ABS(H62)&gt;Reglas!$C$7,"Conciliado (revisar)","Conciliado")))))</f>
        <v/>
      </c>
      <c r="J62" s="146" t="n"/>
      <c r="K62" s="141" t="n"/>
    </row>
    <row r="63" ht="22.5" customHeight="1" s="100">
      <c r="A63" s="141" t="n"/>
      <c r="B63" s="141" t="n"/>
      <c r="C63" s="141" t="n"/>
      <c r="D63" s="141" t="n"/>
      <c r="E63" s="141" t="n"/>
      <c r="F63" s="143" t="n"/>
      <c r="G63" s="143">
        <f>IF(E63="","",SUMIFS(Conciliación!$Y$8:$Y$114,Conciliación!$O$8:$O$114,E63,Conciliación!$AJ$8:$AJ$114,IF(A63="Trasladado","Cobro","Pago")))</f>
        <v/>
      </c>
      <c r="H63" s="143">
        <f>IF(G63="","",ROUND(F63-G63,2))</f>
        <v/>
      </c>
      <c r="I63" s="145">
        <f>IF(ISNUMBER(SEARCH("CSH1",K63)),"Conciliado (validar)",IF(E63="","Conciliado (revisar)",IF(AND(ABS(F63)&lt;0.01,ABS(G63)&lt;0.01),"Conciliado",IF(G63=0,"No identificado",IF(ABS(H63)&gt;Reglas!$C$7,"Conciliado (revisar)","Conciliado")))))</f>
        <v/>
      </c>
      <c r="J63" s="146" t="n"/>
      <c r="K63" s="141" t="n"/>
    </row>
    <row r="64" ht="22.5" customHeight="1" s="100">
      <c r="A64" s="141" t="n"/>
      <c r="B64" s="141" t="n"/>
      <c r="C64" s="141" t="n"/>
      <c r="D64" s="141" t="n"/>
      <c r="E64" s="141" t="n"/>
      <c r="F64" s="143" t="n"/>
      <c r="G64" s="143">
        <f>IF(E64="","",SUMIFS(Conciliación!$Y$8:$Y$114,Conciliación!$O$8:$O$114,E64,Conciliación!$AJ$8:$AJ$114,IF(A64="Trasladado","Cobro","Pago")))</f>
        <v/>
      </c>
      <c r="H64" s="143">
        <f>IF(G64="","",ROUND(F64-G64,2))</f>
        <v/>
      </c>
      <c r="I64" s="145">
        <f>IF(ISNUMBER(SEARCH("CSH1",K64)),"Conciliado (validar)",IF(E64="","Conciliado (revisar)",IF(AND(ABS(F64)&lt;0.01,ABS(G64)&lt;0.01),"Conciliado",IF(G64=0,"No identificado",IF(ABS(H64)&gt;Reglas!$C$7,"Conciliado (revisar)","Conciliado")))))</f>
        <v/>
      </c>
      <c r="J64" s="146" t="n"/>
      <c r="K64" s="141" t="n"/>
    </row>
    <row r="65" ht="22.5" customHeight="1" s="100">
      <c r="A65" s="141" t="n"/>
      <c r="B65" s="141" t="n"/>
      <c r="C65" s="141" t="n"/>
      <c r="D65" s="141" t="n"/>
      <c r="E65" s="141" t="n"/>
      <c r="F65" s="143" t="n"/>
      <c r="G65" s="143">
        <f>IF(E65="","",SUMIFS(Conciliación!$Y$8:$Y$114,Conciliación!$O$8:$O$114,E65,Conciliación!$AJ$8:$AJ$114,IF(A65="Trasladado","Cobro","Pago")))</f>
        <v/>
      </c>
      <c r="H65" s="143">
        <f>IF(G65="","",ROUND(F65-G65,2))</f>
        <v/>
      </c>
      <c r="I65" s="145">
        <f>IF(ISNUMBER(SEARCH("CSH1",K65)),"Conciliado (validar)",IF(E65="","Conciliado (revisar)",IF(AND(ABS(F65)&lt;0.01,ABS(G65)&lt;0.01),"Conciliado",IF(G65=0,"No identificado",IF(ABS(H65)&gt;Reglas!$C$7,"Conciliado (revisar)","Conciliado")))))</f>
        <v/>
      </c>
      <c r="J65" s="146" t="n"/>
      <c r="K65" s="141" t="n"/>
    </row>
    <row r="66" ht="22.5" customHeight="1" s="100">
      <c r="A66" s="141" t="n"/>
      <c r="B66" s="141" t="n"/>
      <c r="C66" s="141" t="n"/>
      <c r="D66" s="141" t="n"/>
      <c r="E66" s="141" t="n"/>
      <c r="F66" s="143" t="n"/>
      <c r="G66" s="143">
        <f>IF(E66="","",SUMIFS(Conciliación!$Y$8:$Y$114,Conciliación!$O$8:$O$114,E66,Conciliación!$AJ$8:$AJ$114,IF(A66="Trasladado","Cobro","Pago")))</f>
        <v/>
      </c>
      <c r="H66" s="143">
        <f>IF(G66="","",ROUND(F66-G66,2))</f>
        <v/>
      </c>
      <c r="I66" s="145">
        <f>IF(ISNUMBER(SEARCH("CSH1",K66)),"Conciliado (validar)",IF(E66="","Conciliado (revisar)",IF(AND(ABS(F66)&lt;0.01,ABS(G66)&lt;0.01),"Conciliado",IF(G66=0,"No identificado",IF(ABS(H66)&gt;Reglas!$C$7,"Conciliado (revisar)","Conciliado")))))</f>
        <v/>
      </c>
      <c r="J66" s="146" t="n"/>
      <c r="K66" s="141" t="n"/>
    </row>
    <row r="67" ht="22.5" customHeight="1" s="100">
      <c r="A67" s="141" t="n"/>
      <c r="B67" s="141" t="n"/>
      <c r="C67" s="141" t="n"/>
      <c r="D67" s="141" t="n"/>
      <c r="E67" s="141" t="n"/>
      <c r="F67" s="143" t="n"/>
      <c r="G67" s="143">
        <f>IF(E67="","",SUMIFS(Conciliación!$Y$8:$Y$114,Conciliación!$O$8:$O$114,E67,Conciliación!$AJ$8:$AJ$114,IF(A67="Trasladado","Cobro","Pago")))</f>
        <v/>
      </c>
      <c r="H67" s="143">
        <f>IF(G67="","",ROUND(F67-G67,2))</f>
        <v/>
      </c>
      <c r="I67" s="145">
        <f>IF(ISNUMBER(SEARCH("CSH1",K67)),"Conciliado (validar)",IF(E67="","Conciliado (revisar)",IF(AND(ABS(F67)&lt;0.01,ABS(G67)&lt;0.01),"Conciliado",IF(G67=0,"No identificado",IF(ABS(H67)&gt;Reglas!$C$7,"Conciliado (revisar)","Conciliado")))))</f>
        <v/>
      </c>
      <c r="J67" s="146" t="n"/>
      <c r="K67" s="141" t="n"/>
    </row>
    <row r="68" ht="22.5" customHeight="1" s="100">
      <c r="A68" s="141" t="n"/>
      <c r="B68" s="141" t="n"/>
      <c r="C68" s="141" t="n"/>
      <c r="D68" s="141" t="n"/>
      <c r="E68" s="141" t="n"/>
      <c r="F68" s="143" t="n"/>
      <c r="G68" s="143">
        <f>IF(E68="","",SUMIFS(Conciliación!$Y$8:$Y$114,Conciliación!$O$8:$O$114,E68,Conciliación!$AJ$8:$AJ$114,IF(A68="Trasladado","Cobro","Pago")))</f>
        <v/>
      </c>
      <c r="H68" s="143">
        <f>IF(G68="","",ROUND(F68-G68,2))</f>
        <v/>
      </c>
      <c r="I68" s="145">
        <f>IF(ISNUMBER(SEARCH("CSH1",K68)),"Conciliado (validar)",IF(E68="","Conciliado (revisar)",IF(AND(ABS(F68)&lt;0.01,ABS(G68)&lt;0.01),"Conciliado",IF(G68=0,"No identificado",IF(ABS(H68)&gt;Reglas!$C$7,"Conciliado (revisar)","Conciliado")))))</f>
        <v/>
      </c>
      <c r="J68" s="146" t="n"/>
      <c r="K68" s="141" t="n"/>
    </row>
    <row r="69" ht="22.5" customHeight="1" s="100">
      <c r="A69" s="141" t="n"/>
      <c r="B69" s="141" t="n"/>
      <c r="C69" s="141" t="n"/>
      <c r="D69" s="141" t="n"/>
      <c r="E69" s="141" t="n"/>
      <c r="F69" s="143" t="n"/>
      <c r="G69" s="143">
        <f>IF(E69="","",SUMIFS(Conciliación!$Y$8:$Y$114,Conciliación!$O$8:$O$114,E69,Conciliación!$AJ$8:$AJ$114,IF(A69="Trasladado","Cobro","Pago")))</f>
        <v/>
      </c>
      <c r="H69" s="143">
        <f>IF(G69="","",ROUND(F69-G69,2))</f>
        <v/>
      </c>
      <c r="I69" s="145">
        <f>IF(ISNUMBER(SEARCH("CSH1",K69)),"Conciliado (validar)",IF(E69="","Conciliado (revisar)",IF(AND(ABS(F69)&lt;0.01,ABS(G69)&lt;0.01),"Conciliado",IF(G69=0,"No identificado",IF(ABS(H69)&gt;Reglas!$C$7,"Conciliado (revisar)","Conciliado")))))</f>
        <v/>
      </c>
      <c r="J69" s="146" t="n"/>
      <c r="K69" s="141" t="n"/>
    </row>
    <row r="70" ht="22.5" customHeight="1" s="100">
      <c r="A70" s="141" t="n"/>
      <c r="B70" s="141" t="n"/>
      <c r="C70" s="141" t="n"/>
      <c r="D70" s="141" t="n"/>
      <c r="E70" s="141" t="n"/>
      <c r="F70" s="143" t="n"/>
      <c r="G70" s="143">
        <f>IF(E70="","",SUMIFS(Conciliación!$Y$8:$Y$114,Conciliación!$O$8:$O$114,E70,Conciliación!$AJ$8:$AJ$114,IF(A70="Trasladado","Cobro","Pago")))</f>
        <v/>
      </c>
      <c r="H70" s="143">
        <f>IF(G70="","",ROUND(F70-G70,2))</f>
        <v/>
      </c>
      <c r="I70" s="145">
        <f>IF(ISNUMBER(SEARCH("CSH1",K70)),"Conciliado (validar)",IF(E70="","Conciliado (revisar)",IF(AND(ABS(F70)&lt;0.01,ABS(G70)&lt;0.01),"Conciliado",IF(G70=0,"No identificado",IF(ABS(H70)&gt;Reglas!$C$7,"Conciliado (revisar)","Conciliado")))))</f>
        <v/>
      </c>
      <c r="J70" s="146" t="n"/>
      <c r="K70" s="141" t="n"/>
    </row>
    <row r="71" ht="22.5" customHeight="1" s="100">
      <c r="A71" s="141" t="n"/>
      <c r="B71" s="141" t="n"/>
      <c r="C71" s="141" t="n"/>
      <c r="D71" s="141" t="n"/>
      <c r="E71" s="141" t="n"/>
      <c r="F71" s="143" t="n"/>
      <c r="G71" s="143">
        <f>IF(E71="","",SUMIFS(Conciliación!$Y$8:$Y$114,Conciliación!$O$8:$O$114,E71,Conciliación!$AJ$8:$AJ$114,IF(A71="Trasladado","Cobro","Pago")))</f>
        <v/>
      </c>
      <c r="H71" s="143">
        <f>IF(G71="","",ROUND(F71-G71,2))</f>
        <v/>
      </c>
      <c r="I71" s="145">
        <f>IF(ISNUMBER(SEARCH("CSH1",K71)),"Conciliado (validar)",IF(E71="","Conciliado (revisar)",IF(AND(ABS(F71)&lt;0.01,ABS(G71)&lt;0.01),"Conciliado",IF(G71=0,"No identificado",IF(ABS(H71)&gt;Reglas!$C$7,"Conciliado (revisar)","Conciliado")))))</f>
        <v/>
      </c>
      <c r="J71" s="146" t="n"/>
      <c r="K71" s="141" t="n"/>
    </row>
    <row r="72" ht="22.5" customHeight="1" s="100">
      <c r="A72" s="141" t="n"/>
      <c r="B72" s="141" t="n"/>
      <c r="C72" s="141" t="n"/>
      <c r="D72" s="141" t="n"/>
      <c r="E72" s="141" t="n"/>
      <c r="F72" s="143" t="n"/>
      <c r="G72" s="143">
        <f>IF(E72="","",SUMIFS(Conciliación!$Y$8:$Y$114,Conciliación!$O$8:$O$114,E72,Conciliación!$AJ$8:$AJ$114,IF(A72="Trasladado","Cobro","Pago")))</f>
        <v/>
      </c>
      <c r="H72" s="143">
        <f>IF(G72="","",ROUND(F72-G72,2))</f>
        <v/>
      </c>
      <c r="I72" s="145">
        <f>IF(ISNUMBER(SEARCH("CSH1",K72)),"Conciliado (validar)",IF(E72="","Conciliado (revisar)",IF(AND(ABS(F72)&lt;0.01,ABS(G72)&lt;0.01),"Conciliado",IF(G72=0,"No identificado",IF(ABS(H72)&gt;Reglas!$C$7,"Conciliado (revisar)","Conciliado")))))</f>
        <v/>
      </c>
      <c r="J72" s="146" t="n"/>
      <c r="K72" s="141" t="n"/>
    </row>
    <row r="73" ht="22.5" customHeight="1" s="100">
      <c r="A73" s="141" t="n"/>
      <c r="B73" s="141" t="n"/>
      <c r="C73" s="141" t="n"/>
      <c r="D73" s="141" t="n"/>
      <c r="E73" s="141" t="n"/>
      <c r="F73" s="143" t="n"/>
      <c r="G73" s="143">
        <f>IF(E73="","",SUMIFS(Conciliación!$Y$8:$Y$114,Conciliación!$O$8:$O$114,E73,Conciliación!$AJ$8:$AJ$114,IF(A73="Trasladado","Cobro","Pago")))</f>
        <v/>
      </c>
      <c r="H73" s="143">
        <f>IF(G73="","",ROUND(F73-G73,2))</f>
        <v/>
      </c>
      <c r="I73" s="145">
        <f>IF(ISNUMBER(SEARCH("CSH1",K73)),"Conciliado (validar)",IF(E73="","Conciliado (revisar)",IF(AND(ABS(F73)&lt;0.01,ABS(G73)&lt;0.01),"Conciliado",IF(G73=0,"No identificado",IF(ABS(H73)&gt;Reglas!$C$7,"Conciliado (revisar)","Conciliado")))))</f>
        <v/>
      </c>
      <c r="J73" s="146" t="n"/>
      <c r="K73" s="141" t="n"/>
    </row>
    <row r="74" ht="22.5" customHeight="1" s="100">
      <c r="A74" s="141" t="n"/>
      <c r="B74" s="141" t="n"/>
      <c r="C74" s="141" t="n"/>
      <c r="D74" s="141" t="n"/>
      <c r="E74" s="141" t="n"/>
      <c r="F74" s="143" t="n"/>
      <c r="G74" s="143">
        <f>IF(E74="","",SUMIFS(Conciliación!$Y$8:$Y$114,Conciliación!$O$8:$O$114,E74,Conciliación!$AJ$8:$AJ$114,IF(A74="Trasladado","Cobro","Pago")))</f>
        <v/>
      </c>
      <c r="H74" s="143">
        <f>IF(G74="","",ROUND(F74-G74,2))</f>
        <v/>
      </c>
      <c r="I74" s="145">
        <f>IF(ISNUMBER(SEARCH("CSH1",K74)),"Conciliado (validar)",IF(E74="","Conciliado (revisar)",IF(AND(ABS(F74)&lt;0.01,ABS(G74)&lt;0.01),"Conciliado",IF(G74=0,"No identificado",IF(ABS(H74)&gt;Reglas!$C$7,"Conciliado (revisar)","Conciliado")))))</f>
        <v/>
      </c>
      <c r="J74" s="146" t="n"/>
      <c r="K74" s="141" t="n"/>
    </row>
    <row r="75" ht="22.5" customHeight="1" s="100">
      <c r="A75" s="141" t="n"/>
      <c r="B75" s="141" t="n"/>
      <c r="C75" s="141" t="n"/>
      <c r="D75" s="141" t="n"/>
      <c r="E75" s="141" t="n"/>
      <c r="F75" s="143" t="n"/>
      <c r="G75" s="143">
        <f>IF(E75="","",SUMIFS(Conciliación!$Y$8:$Y$114,Conciliación!$O$8:$O$114,E75,Conciliación!$AJ$8:$AJ$114,IF(A75="Trasladado","Cobro","Pago")))</f>
        <v/>
      </c>
      <c r="H75" s="143">
        <f>IF(G75="","",ROUND(F75-G75,2))</f>
        <v/>
      </c>
      <c r="I75" s="145">
        <f>IF(ISNUMBER(SEARCH("CSH1",K75)),"Conciliado (validar)",IF(E75="","Conciliado (revisar)",IF(AND(ABS(F75)&lt;0.01,ABS(G75)&lt;0.01),"Conciliado",IF(G75=0,"No identificado",IF(ABS(H75)&gt;Reglas!$C$7,"Conciliado (revisar)","Conciliado")))))</f>
        <v/>
      </c>
      <c r="J75" s="146" t="n"/>
      <c r="K75" s="141" t="n"/>
    </row>
    <row r="76" ht="22.5" customHeight="1" s="100">
      <c r="A76" s="141" t="n"/>
      <c r="B76" s="141" t="n"/>
      <c r="C76" s="141" t="n"/>
      <c r="D76" s="141" t="n"/>
      <c r="E76" s="141" t="n"/>
      <c r="F76" s="143" t="n"/>
      <c r="G76" s="143">
        <f>IF(E76="","",SUMIFS(Conciliación!$Y$8:$Y$114,Conciliación!$O$8:$O$114,E76,Conciliación!$AJ$8:$AJ$114,IF(A76="Trasladado","Cobro","Pago")))</f>
        <v/>
      </c>
      <c r="H76" s="143">
        <f>IF(G76="","",ROUND(F76-G76,2))</f>
        <v/>
      </c>
      <c r="I76" s="145">
        <f>IF(ISNUMBER(SEARCH("CSH1",K76)),"Conciliado (validar)",IF(E76="","Conciliado (revisar)",IF(AND(ABS(F76)&lt;0.01,ABS(G76)&lt;0.01),"Conciliado",IF(G76=0,"No identificado",IF(ABS(H76)&gt;Reglas!$C$7,"Conciliado (revisar)","Conciliado")))))</f>
        <v/>
      </c>
      <c r="J76" s="146" t="n"/>
      <c r="K76" s="141" t="n"/>
    </row>
    <row r="77" ht="22.5" customHeight="1" s="100">
      <c r="A77" s="141" t="n"/>
      <c r="B77" s="141" t="n"/>
      <c r="C77" s="141" t="n"/>
      <c r="D77" s="141" t="n"/>
      <c r="E77" s="141" t="n"/>
      <c r="F77" s="143" t="n"/>
      <c r="G77" s="143">
        <f>IF(E77="","",SUMIFS(Conciliación!$Y$8:$Y$114,Conciliación!$O$8:$O$114,E77,Conciliación!$AJ$8:$AJ$114,IF(A77="Trasladado","Cobro","Pago")))</f>
        <v/>
      </c>
      <c r="H77" s="143">
        <f>IF(G77="","",ROUND(F77-G77,2))</f>
        <v/>
      </c>
      <c r="I77" s="145">
        <f>IF(ISNUMBER(SEARCH("CSH1",K77)),"Conciliado (validar)",IF(E77="","Conciliado (revisar)",IF(AND(ABS(F77)&lt;0.01,ABS(G77)&lt;0.01),"Conciliado",IF(G77=0,"No identificado",IF(ABS(H77)&gt;Reglas!$C$7,"Conciliado (revisar)","Conciliado")))))</f>
        <v/>
      </c>
      <c r="J77" s="146" t="n"/>
      <c r="K77" s="141" t="n"/>
    </row>
    <row r="78" ht="14.25" customHeight="1" s="100">
      <c r="A78" s="141" t="n"/>
      <c r="B78" s="141" t="n"/>
      <c r="C78" s="141" t="n"/>
      <c r="D78" s="141" t="n"/>
      <c r="E78" s="141" t="n"/>
      <c r="F78" s="143" t="n"/>
      <c r="G78" s="143">
        <f>IF(E78="","",SUMIFS(Conciliación!$Y$8:$Y$114,Conciliación!$O$8:$O$114,E78,Conciliación!$AJ$8:$AJ$114,IF(A78="Trasladado","Cobro","Pago")))</f>
        <v/>
      </c>
      <c r="H78" s="143">
        <f>IF(G78="","",ROUND(F78-G78,2))</f>
        <v/>
      </c>
      <c r="I78" s="145">
        <f>IF(ISNUMBER(SEARCH("CSH1",K78)),"Conciliado (validar)",IF(E78="","Conciliado (revisar)",IF(AND(ABS(F78)&lt;0.01,ABS(G78)&lt;0.01),"Conciliado",IF(G78=0,"No identificado",IF(ABS(H78)&gt;Reglas!$C$7,"Conciliado (revisar)","Conciliado")))))</f>
        <v/>
      </c>
      <c r="J78" s="146" t="n"/>
      <c r="K78" s="141" t="n"/>
    </row>
    <row r="79" ht="22.5" customHeight="1" s="100">
      <c r="A79" s="141" t="n"/>
      <c r="B79" s="141" t="n"/>
      <c r="C79" s="141" t="n"/>
      <c r="D79" s="141" t="n"/>
      <c r="E79" s="141" t="n"/>
      <c r="F79" s="143" t="n"/>
      <c r="G79" s="143">
        <f>IF(E79="","",SUMIFS(Conciliación!$Y$8:$Y$114,Conciliación!$O$8:$O$114,E79,Conciliación!$AJ$8:$AJ$114,IF(A79="Trasladado","Cobro","Pago")))</f>
        <v/>
      </c>
      <c r="H79" s="143">
        <f>IF(G79="","",ROUND(F79-G79,2))</f>
        <v/>
      </c>
      <c r="I79" s="145">
        <f>IF(ISNUMBER(SEARCH("CSH1",K79)),"Conciliado (validar)",IF(E79="","Conciliado (revisar)",IF(AND(ABS(F79)&lt;0.01,ABS(G79)&lt;0.01),"Conciliado",IF(G79=0,"No identificado",IF(ABS(H79)&gt;Reglas!$C$7,"Conciliado (revisar)","Conciliado")))))</f>
        <v/>
      </c>
      <c r="J79" s="146" t="n"/>
      <c r="K79" s="141" t="n"/>
    </row>
    <row r="80" ht="22.5" customHeight="1" s="100">
      <c r="A80" s="141" t="n"/>
      <c r="B80" s="141" t="n"/>
      <c r="C80" s="141" t="n"/>
      <c r="D80" s="141" t="n"/>
      <c r="E80" s="141" t="n"/>
      <c r="F80" s="143" t="n"/>
      <c r="G80" s="143">
        <f>IF(E80="","",SUMIFS(Conciliación!$Y$8:$Y$114,Conciliación!$O$8:$O$114,E80,Conciliación!$AJ$8:$AJ$114,IF(A80="Trasladado","Cobro","Pago")))</f>
        <v/>
      </c>
      <c r="H80" s="143">
        <f>IF(G80="","",ROUND(F80-G80,2))</f>
        <v/>
      </c>
      <c r="I80" s="145">
        <f>IF(ISNUMBER(SEARCH("CSH1",K80)),"Conciliado (validar)",IF(E80="","Conciliado (revisar)",IF(AND(ABS(F80)&lt;0.01,ABS(G80)&lt;0.01),"Conciliado",IF(G80=0,"No identificado",IF(ABS(H80)&gt;Reglas!$C$7,"Conciliado (revisar)","Conciliado")))))</f>
        <v/>
      </c>
      <c r="J80" s="146" t="n"/>
      <c r="K80" s="141" t="n"/>
    </row>
    <row r="81" ht="22.5" customHeight="1" s="100">
      <c r="A81" s="141" t="n"/>
      <c r="B81" s="141" t="n"/>
      <c r="C81" s="141" t="n"/>
      <c r="D81" s="141" t="n"/>
      <c r="E81" s="141" t="n"/>
      <c r="F81" s="143" t="n"/>
      <c r="G81" s="143">
        <f>IF(E81="","",SUMIFS(Conciliación!$Y$8:$Y$114,Conciliación!$O$8:$O$114,E81,Conciliación!$AJ$8:$AJ$114,IF(A81="Trasladado","Cobro","Pago")))</f>
        <v/>
      </c>
      <c r="H81" s="143">
        <f>IF(G81="","",ROUND(F81-G81,2))</f>
        <v/>
      </c>
      <c r="I81" s="145">
        <f>IF(ISNUMBER(SEARCH("CSH1",K81)),"Conciliado (validar)",IF(E81="","Conciliado (revisar)",IF(AND(ABS(F81)&lt;0.01,ABS(G81)&lt;0.01),"Conciliado",IF(G81=0,"No identificado",IF(ABS(H81)&gt;Reglas!$C$7,"Conciliado (revisar)","Conciliado")))))</f>
        <v/>
      </c>
      <c r="J81" s="146" t="n"/>
      <c r="K81" s="141" t="n"/>
    </row>
    <row r="82" ht="22.5" customHeight="1" s="100">
      <c r="A82" s="141" t="n"/>
      <c r="B82" s="141" t="n"/>
      <c r="C82" s="141" t="n"/>
      <c r="D82" s="141" t="n"/>
      <c r="E82" s="141" t="n"/>
      <c r="F82" s="143" t="n"/>
      <c r="G82" s="143">
        <f>IF(E82="","",SUMIFS(Conciliación!$Y$8:$Y$114,Conciliación!$O$8:$O$114,E82,Conciliación!$AJ$8:$AJ$114,IF(A82="Trasladado","Cobro","Pago")))</f>
        <v/>
      </c>
      <c r="H82" s="143">
        <f>IF(G82="","",ROUND(F82-G82,2))</f>
        <v/>
      </c>
      <c r="I82" s="145">
        <f>IF(ISNUMBER(SEARCH("CSH1",K82)),"Conciliado (validar)",IF(E82="","Conciliado (revisar)",IF(AND(ABS(F82)&lt;0.01,ABS(G82)&lt;0.01),"Conciliado",IF(G82=0,"No identificado",IF(ABS(H82)&gt;Reglas!$C$7,"Conciliado (revisar)","Conciliado")))))</f>
        <v/>
      </c>
      <c r="J82" s="146" t="n"/>
      <c r="K82" s="141" t="n"/>
    </row>
    <row r="83" ht="22.5" customHeight="1" s="100">
      <c r="A83" s="141" t="n"/>
      <c r="B83" s="141" t="n"/>
      <c r="C83" s="141" t="n"/>
      <c r="D83" s="141" t="n"/>
      <c r="E83" s="141" t="n"/>
      <c r="F83" s="143" t="n"/>
      <c r="G83" s="143">
        <f>IF(E83="","",SUMIFS(Conciliación!$Y$8:$Y$114,Conciliación!$O$8:$O$114,E83,Conciliación!$AJ$8:$AJ$114,IF(A83="Trasladado","Cobro","Pago")))</f>
        <v/>
      </c>
      <c r="H83" s="143">
        <f>IF(G83="","",ROUND(F83-G83,2))</f>
        <v/>
      </c>
      <c r="I83" s="145">
        <f>IF(ISNUMBER(SEARCH("CSH1",K83)),"Conciliado (validar)",IF(E83="","Conciliado (revisar)",IF(AND(ABS(F83)&lt;0.01,ABS(G83)&lt;0.01),"Conciliado",IF(G83=0,"No identificado",IF(ABS(H83)&gt;Reglas!$C$7,"Conciliado (revisar)","Conciliado")))))</f>
        <v/>
      </c>
      <c r="J83" s="146" t="n"/>
      <c r="K83" s="141" t="n"/>
    </row>
    <row r="84" ht="22.5" customHeight="1" s="100">
      <c r="A84" s="141" t="n"/>
      <c r="B84" s="141" t="n"/>
      <c r="C84" s="141" t="n"/>
      <c r="D84" s="141" t="n"/>
      <c r="E84" s="141" t="n"/>
      <c r="F84" s="143" t="n"/>
      <c r="G84" s="143">
        <f>IF(E84="","",SUMIFS(Conciliación!$Y$8:$Y$114,Conciliación!$O$8:$O$114,E84,Conciliación!$AJ$8:$AJ$114,IF(A84="Trasladado","Cobro","Pago")))</f>
        <v/>
      </c>
      <c r="H84" s="143">
        <f>IF(G84="","",ROUND(F84-G84,2))</f>
        <v/>
      </c>
      <c r="I84" s="145">
        <f>IF(ISNUMBER(SEARCH("CSH1",K84)),"Conciliado (validar)",IF(E84="","Conciliado (revisar)",IF(AND(ABS(F84)&lt;0.01,ABS(G84)&lt;0.01),"Conciliado",IF(G84=0,"No identificado",IF(ABS(H84)&gt;Reglas!$C$7,"Conciliado (revisar)","Conciliado")))))</f>
        <v/>
      </c>
      <c r="J84" s="146" t="n"/>
      <c r="K84" s="141" t="n"/>
    </row>
    <row r="85" ht="22.5" customHeight="1" s="100">
      <c r="A85" s="141" t="n"/>
      <c r="B85" s="141" t="n"/>
      <c r="C85" s="141" t="n"/>
      <c r="D85" s="141" t="n"/>
      <c r="E85" s="141" t="n"/>
      <c r="F85" s="143" t="n"/>
      <c r="G85" s="143">
        <f>IF(E85="","",SUMIFS(Conciliación!$Y$8:$Y$114,Conciliación!$O$8:$O$114,E85,Conciliación!$AJ$8:$AJ$114,IF(A85="Trasladado","Cobro","Pago")))</f>
        <v/>
      </c>
      <c r="H85" s="143">
        <f>IF(G85="","",ROUND(F85-G85,2))</f>
        <v/>
      </c>
      <c r="I85" s="145">
        <f>IF(ISNUMBER(SEARCH("CSH1",K85)),"Conciliado (validar)",IF(E85="","Conciliado (revisar)",IF(AND(ABS(F85)&lt;0.01,ABS(G85)&lt;0.01),"Conciliado",IF(G85=0,"No identificado",IF(ABS(H85)&gt;Reglas!$C$7,"Conciliado (revisar)","Conciliado")))))</f>
        <v/>
      </c>
      <c r="J85" s="146" t="n"/>
      <c r="K85" s="141" t="n"/>
    </row>
    <row r="86" ht="22.5" customHeight="1" s="100">
      <c r="A86" s="141" t="n"/>
      <c r="B86" s="141" t="n"/>
      <c r="C86" s="141" t="n"/>
      <c r="D86" s="141" t="n"/>
      <c r="E86" s="141" t="n"/>
      <c r="F86" s="143" t="n"/>
      <c r="G86" s="143">
        <f>IF(E86="","",SUMIFS(Conciliación!$Y$8:$Y$114,Conciliación!$O$8:$O$114,E86,Conciliación!$AJ$8:$AJ$114,IF(A86="Trasladado","Cobro","Pago")))</f>
        <v/>
      </c>
      <c r="H86" s="143">
        <f>IF(G86="","",ROUND(F86-G86,2))</f>
        <v/>
      </c>
      <c r="I86" s="145">
        <f>IF(ISNUMBER(SEARCH("CSH1",K86)),"Conciliado (validar)",IF(E86="","Conciliado (revisar)",IF(AND(ABS(F86)&lt;0.01,ABS(G86)&lt;0.01),"Conciliado",IF(G86=0,"No identificado",IF(ABS(H86)&gt;Reglas!$C$7,"Conciliado (revisar)","Conciliado")))))</f>
        <v/>
      </c>
      <c r="J86" s="146" t="n"/>
      <c r="K86" s="141" t="n"/>
    </row>
    <row r="87" ht="22.5" customHeight="1" s="100">
      <c r="A87" s="141" t="n"/>
      <c r="B87" s="141" t="n"/>
      <c r="C87" s="141" t="n"/>
      <c r="D87" s="141" t="n"/>
      <c r="E87" s="141" t="n"/>
      <c r="F87" s="143" t="n"/>
      <c r="G87" s="143">
        <f>IF(E87="","",SUMIFS(Conciliación!$Y$8:$Y$114,Conciliación!$O$8:$O$114,E87,Conciliación!$AJ$8:$AJ$114,IF(A87="Trasladado","Cobro","Pago")))</f>
        <v/>
      </c>
      <c r="H87" s="143">
        <f>IF(G87="","",ROUND(F87-G87,2))</f>
        <v/>
      </c>
      <c r="I87" s="145">
        <f>IF(ISNUMBER(SEARCH("CSH1",K87)),"Conciliado (validar)",IF(E87="","Conciliado (revisar)",IF(AND(ABS(F87)&lt;0.01,ABS(G87)&lt;0.01),"Conciliado",IF(G87=0,"No identificado",IF(ABS(H87)&gt;Reglas!$C$7,"Conciliado (revisar)","Conciliado")))))</f>
        <v/>
      </c>
      <c r="J87" s="146" t="n"/>
      <c r="K87" s="141" t="n"/>
    </row>
    <row r="88" ht="22.5" customHeight="1" s="100">
      <c r="A88" s="141" t="n"/>
      <c r="B88" s="141" t="n"/>
      <c r="C88" s="141" t="n"/>
      <c r="D88" s="141" t="n"/>
      <c r="E88" s="141" t="n"/>
      <c r="F88" s="143" t="n"/>
      <c r="G88" s="143">
        <f>IF(E88="","",SUMIFS(Conciliación!$Y$8:$Y$114,Conciliación!$O$8:$O$114,E88,Conciliación!$AJ$8:$AJ$114,IF(A88="Trasladado","Cobro","Pago")))</f>
        <v/>
      </c>
      <c r="H88" s="143">
        <f>IF(G88="","",ROUND(F88-G88,2))</f>
        <v/>
      </c>
      <c r="I88" s="145">
        <f>IF(ISNUMBER(SEARCH("CSH1",K88)),"Conciliado (validar)",IF(E88="","Conciliado (revisar)",IF(AND(ABS(F88)&lt;0.01,ABS(G88)&lt;0.01),"Conciliado",IF(G88=0,"No identificado",IF(ABS(H88)&gt;Reglas!$C$7,"Conciliado (revisar)","Conciliado")))))</f>
        <v/>
      </c>
      <c r="J88" s="146" t="n"/>
      <c r="K88" s="141" t="n"/>
    </row>
    <row r="89" ht="22.5" customHeight="1" s="100">
      <c r="A89" s="141" t="n"/>
      <c r="B89" s="141" t="n"/>
      <c r="C89" s="141" t="n"/>
      <c r="D89" s="141" t="n"/>
      <c r="E89" s="141" t="n"/>
      <c r="F89" s="143" t="n"/>
      <c r="G89" s="143">
        <f>IF(E89="","",SUMIFS(Conciliación!$Y$8:$Y$114,Conciliación!$O$8:$O$114,E89,Conciliación!$AJ$8:$AJ$114,IF(A89="Trasladado","Cobro","Pago")))</f>
        <v/>
      </c>
      <c r="H89" s="143">
        <f>IF(G89="","",ROUND(F89-G89,2))</f>
        <v/>
      </c>
      <c r="I89" s="145">
        <f>IF(ISNUMBER(SEARCH("CSH1",K89)),"Conciliado (validar)",IF(E89="","Conciliado (revisar)",IF(AND(ABS(F89)&lt;0.01,ABS(G89)&lt;0.01),"Conciliado",IF(G89=0,"No identificado",IF(ABS(H89)&gt;Reglas!$C$7,"Conciliado (revisar)","Conciliado")))))</f>
        <v/>
      </c>
      <c r="J89" s="146" t="n"/>
      <c r="K89" s="141" t="n"/>
    </row>
    <row r="90" ht="22.5" customHeight="1" s="100">
      <c r="A90" s="141" t="n"/>
      <c r="B90" s="141" t="n"/>
      <c r="C90" s="141" t="n"/>
      <c r="D90" s="141" t="n"/>
      <c r="E90" s="141" t="n"/>
      <c r="F90" s="143" t="n"/>
      <c r="G90" s="143">
        <f>IF(E90="","",SUMIFS(Conciliación!$Y$8:$Y$114,Conciliación!$O$8:$O$114,E90,Conciliación!$AJ$8:$AJ$114,IF(A90="Trasladado","Cobro","Pago")))</f>
        <v/>
      </c>
      <c r="H90" s="143">
        <f>IF(G90="","",ROUND(F90-G90,2))</f>
        <v/>
      </c>
      <c r="I90" s="145">
        <f>IF(ISNUMBER(SEARCH("CSH1",K90)),"Conciliado (validar)",IF(E90="","Conciliado (revisar)",IF(AND(ABS(F90)&lt;0.01,ABS(G90)&lt;0.01),"Conciliado",IF(G90=0,"No identificado",IF(ABS(H90)&gt;Reglas!$C$7,"Conciliado (revisar)","Conciliado")))))</f>
        <v/>
      </c>
      <c r="J90" s="146" t="n"/>
      <c r="K90" s="141" t="n"/>
    </row>
    <row r="91" ht="22.5" customHeight="1" s="100">
      <c r="A91" s="141" t="n"/>
      <c r="B91" s="141" t="n"/>
      <c r="C91" s="141" t="n"/>
      <c r="D91" s="141" t="n"/>
      <c r="E91" s="141" t="n"/>
      <c r="F91" s="143" t="n"/>
      <c r="G91" s="143">
        <f>IF(E91="","",SUMIFS(Conciliación!$Y$8:$Y$114,Conciliación!$O$8:$O$114,E91,Conciliación!$AJ$8:$AJ$114,IF(A91="Trasladado","Cobro","Pago")))</f>
        <v/>
      </c>
      <c r="H91" s="143">
        <f>IF(G91="","",ROUND(F91-G91,2))</f>
        <v/>
      </c>
      <c r="I91" s="145">
        <f>IF(ISNUMBER(SEARCH("CSH1",K91)),"Conciliado (validar)",IF(E91="","Conciliado (revisar)",IF(AND(ABS(F91)&lt;0.01,ABS(G91)&lt;0.01),"Conciliado",IF(G91=0,"No identificado",IF(ABS(H91)&gt;Reglas!$C$7,"Conciliado (revisar)","Conciliado")))))</f>
        <v/>
      </c>
      <c r="J91" s="146" t="n"/>
      <c r="K91" s="141" t="n"/>
    </row>
    <row r="92" ht="14.25" customHeight="1" s="100">
      <c r="A92" s="141" t="n"/>
      <c r="B92" s="141" t="n"/>
      <c r="C92" s="141" t="n"/>
      <c r="D92" s="141" t="n"/>
      <c r="E92" s="141" t="n"/>
      <c r="F92" s="143" t="n"/>
      <c r="G92" s="143">
        <f>IF(E92="","",SUMIFS(Conciliación!$Y$8:$Y$114,Conciliación!$O$8:$O$114,E92,Conciliación!$AJ$8:$AJ$114,IF(A92="Trasladado","Cobro","Pago")))</f>
        <v/>
      </c>
      <c r="H92" s="143">
        <f>IF(G92="","",ROUND(F92-G92,2))</f>
        <v/>
      </c>
      <c r="I92" s="145">
        <f>IF(ISNUMBER(SEARCH("CSH1",K92)),"Conciliado (validar)",IF(E92="","Conciliado (revisar)",IF(AND(ABS(F92)&lt;0.01,ABS(G92)&lt;0.01),"Conciliado",IF(G92=0,"No identificado",IF(ABS(H92)&gt;Reglas!$C$7,"Conciliado (revisar)","Conciliado")))))</f>
        <v/>
      </c>
      <c r="J92" s="146" t="n"/>
      <c r="K92" s="141" t="n"/>
    </row>
    <row r="93" ht="22.5" customHeight="1" s="100">
      <c r="A93" s="141" t="n"/>
      <c r="B93" s="141" t="n"/>
      <c r="C93" s="141" t="n"/>
      <c r="D93" s="141" t="n"/>
      <c r="E93" s="141" t="n"/>
      <c r="F93" s="143" t="n"/>
      <c r="G93" s="143">
        <f>IF(E93="","",SUMIFS(Conciliación!$Y$8:$Y$114,Conciliación!$O$8:$O$114,E93,Conciliación!$AJ$8:$AJ$114,IF(A93="Trasladado","Cobro","Pago")))</f>
        <v/>
      </c>
      <c r="H93" s="143">
        <f>IF(G93="","",ROUND(F93-G93,2))</f>
        <v/>
      </c>
      <c r="I93" s="145">
        <f>IF(ISNUMBER(SEARCH("CSH1",K93)),"Conciliado (validar)",IF(E93="","Conciliado (revisar)",IF(AND(ABS(F93)&lt;0.01,ABS(G93)&lt;0.01),"Conciliado",IF(G93=0,"No identificado",IF(ABS(H93)&gt;Reglas!$C$7,"Conciliado (revisar)","Conciliado")))))</f>
        <v/>
      </c>
      <c r="J93" s="146" t="n"/>
      <c r="K93" s="141" t="n"/>
    </row>
    <row r="94" ht="22.5" customHeight="1" s="100">
      <c r="A94" s="141" t="n"/>
      <c r="B94" s="141" t="n"/>
      <c r="C94" s="141" t="n"/>
      <c r="D94" s="141" t="n"/>
      <c r="E94" s="141" t="n"/>
      <c r="F94" s="143" t="n"/>
      <c r="G94" s="143">
        <f>IF(E94="","",SUMIFS(Conciliación!$Y$8:$Y$114,Conciliación!$O$8:$O$114,E94,Conciliación!$AJ$8:$AJ$114,IF(A94="Trasladado","Cobro","Pago")))</f>
        <v/>
      </c>
      <c r="H94" s="143">
        <f>IF(G94="","",ROUND(F94-G94,2))</f>
        <v/>
      </c>
      <c r="I94" s="145">
        <f>IF(ISNUMBER(SEARCH("CSH1",K94)),"Conciliado (validar)",IF(E94="","Conciliado (revisar)",IF(AND(ABS(F94)&lt;0.01,ABS(G94)&lt;0.01),"Conciliado",IF(G94=0,"No identificado",IF(ABS(H94)&gt;Reglas!$C$7,"Conciliado (revisar)","Conciliado")))))</f>
        <v/>
      </c>
      <c r="J94" s="146" t="n"/>
      <c r="K94" s="141" t="n"/>
    </row>
    <row r="95" ht="22.5" customHeight="1" s="100">
      <c r="A95" s="141" t="n"/>
      <c r="B95" s="141" t="n"/>
      <c r="C95" s="141" t="n"/>
      <c r="D95" s="141" t="n"/>
      <c r="E95" s="141" t="n"/>
      <c r="F95" s="143" t="n"/>
      <c r="G95" s="143">
        <f>IF(E95="","",SUMIFS(Conciliación!$Y$8:$Y$114,Conciliación!$O$8:$O$114,E95,Conciliación!$AJ$8:$AJ$114,IF(A95="Trasladado","Cobro","Pago")))</f>
        <v/>
      </c>
      <c r="H95" s="143">
        <f>IF(G95="","",ROUND(F95-G95,2))</f>
        <v/>
      </c>
      <c r="I95" s="145">
        <f>IF(ISNUMBER(SEARCH("CSH1",K95)),"Conciliado (validar)",IF(E95="","Conciliado (revisar)",IF(AND(ABS(F95)&lt;0.01,ABS(G95)&lt;0.01),"Conciliado",IF(G95=0,"No identificado",IF(ABS(H95)&gt;Reglas!$C$7,"Conciliado (revisar)","Conciliado")))))</f>
        <v/>
      </c>
      <c r="J95" s="146" t="n"/>
      <c r="K95" s="141" t="n"/>
    </row>
    <row r="96"/>
    <row r="97"/>
    <row r="98" ht="15" customHeight="1" s="100">
      <c r="A98" s="108" t="n"/>
    </row>
    <row r="99" ht="14.25" customHeight="1" s="100">
      <c r="A99" s="126" t="n"/>
      <c r="B99" s="151" t="n"/>
      <c r="C99" s="151" t="n"/>
      <c r="D99" s="151" t="n"/>
      <c r="E99" s="151" t="n"/>
      <c r="F99" s="127">
        <f>SUMIFS('Impuestos vs Odoo'!$F$16:$F$95,'Impuestos vs Odoo'!$A$16:$A$95,"Trasladado",'Impuestos vs Odoo'!$I$16:$I$95,"No identificado")</f>
        <v/>
      </c>
    </row>
    <row r="100" ht="14.25" customHeight="1" s="100">
      <c r="A100" s="126" t="n"/>
      <c r="B100" s="151" t="n"/>
      <c r="C100" s="151" t="n"/>
      <c r="D100" s="151" t="n"/>
      <c r="E100" s="151" t="n"/>
      <c r="F100" s="127">
        <f>SUMIFS('Impuestos vs Odoo'!$H$16:$H$95,'Impuestos vs Odoo'!$A$16:$A$95,"Trasladado",'Impuestos vs Odoo'!$I$16:$I$95,"Conciliado (revisar)")</f>
        <v/>
      </c>
    </row>
    <row r="101" ht="14.25" customHeight="1" s="100">
      <c r="A101" s="126" t="n"/>
      <c r="B101" s="151" t="n"/>
      <c r="C101" s="151" t="n"/>
      <c r="D101" s="151" t="n"/>
      <c r="E101" s="151" t="n"/>
      <c r="F101" s="127">
        <f>SUMIFS('Impuestos vs Odoo'!$F$16:$F$95,'Impuestos vs Odoo'!$A$16:$A$95,"Acreditable",'Impuestos vs Odoo'!$K$16:$K$95,"*CSH1*",'Impuestos vs Odoo'!$G$16:$G$95,0)</f>
        <v/>
      </c>
    </row>
    <row r="102" ht="14.25" customHeight="1" s="100">
      <c r="A102" s="126" t="n"/>
      <c r="B102" s="151" t="n"/>
      <c r="C102" s="151" t="n"/>
      <c r="D102" s="151" t="n"/>
      <c r="E102" s="151" t="n"/>
      <c r="F102" s="127">
        <f>SUMIFS('Impuestos vs Odoo'!$F$16:$F$95,'Impuestos vs Odoo'!$A$16:$A$95,"Acreditable",'Impuestos vs Odoo'!$I$16:$I$95,"No identificado")</f>
        <v/>
      </c>
    </row>
    <row r="103" ht="14.25" customHeight="1" s="100">
      <c r="A103" s="126" t="n"/>
      <c r="B103" s="151" t="n"/>
      <c r="C103" s="151" t="n"/>
      <c r="D103" s="151" t="n"/>
      <c r="E103" s="151" t="n"/>
      <c r="F103" s="127">
        <f>SUMIFS('Impuestos vs Odoo'!$F$16:$F$95,'Impuestos vs Odoo'!$A$16:$A$95,"Acreditable",'Impuestos vs Odoo'!$E$16:$E$95,"")</f>
        <v/>
      </c>
    </row>
    <row r="104" ht="14.25" customHeight="1" s="100">
      <c r="A104" s="152" t="n"/>
      <c r="B104" s="151" t="n"/>
      <c r="C104" s="151" t="n"/>
      <c r="D104" s="151" t="n"/>
      <c r="E104" s="151" t="n"/>
      <c r="F104" s="127">
        <f>ROUND('Desglose fiscal'!B40/1.16*0.16,2)</f>
        <v/>
      </c>
    </row>
  </sheetData>
  <autoFilter ref="A15:K95"/>
  <mergeCells count="6">
    <mergeCell ref="A100:E100"/>
    <mergeCell ref="A101:E101"/>
    <mergeCell ref="A104:E104"/>
    <mergeCell ref="A99:E99"/>
    <mergeCell ref="A103:E103"/>
    <mergeCell ref="A102:E102"/>
  </mergeCells>
  <conditionalFormatting sqref="I16:I95">
    <cfRule type="expression" rank="0" priority="2" equalAverage="0" aboveAverage="0" dxfId="5" text="" percent="0" bottom="0">
      <formula>$I16="Conciliado"</formula>
    </cfRule>
    <cfRule type="expression" rank="0" priority="3" equalAverage="0" aboveAverage="0" dxfId="6" text="" percent="0" bottom="0">
      <formula>$I16="Conciliado (validar)"</formula>
    </cfRule>
    <cfRule type="expression" rank="0" priority="4" equalAverage="0" aboveAverage="0" dxfId="7" text="" percent="0" bottom="0">
      <formula>$I16="Conciliado (revisar)"</formula>
    </cfRule>
    <cfRule type="expression" rank="0" priority="5" equalAverage="0" aboveAverage="0" dxfId="8" text="" percent="0" bottom="0">
      <formula>$I16="No identificado"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34" customWidth="1" style="99" min="1" max="1"/>
    <col width="16" customWidth="1" style="99" min="2" max="5"/>
    <col width="11" customWidth="1" style="99" min="6" max="6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</row>
    <row r="2" ht="25.5" customHeight="1" s="100">
      <c r="A2" s="101" t="n"/>
      <c r="B2" s="101" t="n"/>
      <c r="C2" s="103" t="inlineStr">
        <is>
          <t>Impuestos del mes por flujo de efectivo</t>
        </is>
      </c>
      <c r="D2" s="101" t="n"/>
      <c r="E2" s="101" t="n"/>
      <c r="F2" s="101" t="n"/>
      <c r="G2" s="101" t="n"/>
      <c r="H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</row>
    <row r="4"/>
    <row r="5" ht="14.25" customHeight="1" s="100">
      <c r="A5" s="105" t="inlineStr">
        <is>
          <t>Solo lo cobrado y lo pagado en el mes según el banco, separado por tipo de retención. Sale de la hoja Conciliación y se actualiza solo.</t>
        </is>
      </c>
    </row>
    <row r="6"/>
    <row r="7" ht="16.5" customHeight="1" s="100">
      <c r="A7" s="153" t="inlineStr">
        <is>
          <t>Cobros a clientes: IVA trasladado cobrado</t>
        </is>
      </c>
    </row>
    <row r="8" ht="39.75" customHeight="1" s="100">
      <c r="A8" s="139" t="inlineStr">
        <is>
          <t>Tipo de retención</t>
        </is>
      </c>
      <c r="B8" s="139" t="inlineStr">
        <is>
          <t>Base</t>
        </is>
      </c>
      <c r="C8" s="139" t="inlineStr">
        <is>
          <t>IVA</t>
        </is>
      </c>
      <c r="D8" s="139" t="inlineStr">
        <is>
          <t>IVA retenido</t>
        </is>
      </c>
      <c r="E8" s="139" t="inlineStr">
        <is>
          <t>ISR retenido</t>
        </is>
      </c>
      <c r="F8" s="139" t="inlineStr">
        <is>
          <t>Renglones</t>
        </is>
      </c>
    </row>
    <row r="9" ht="14.25" customHeight="1" s="100">
      <c r="A9" s="154" t="inlineStr">
        <is>
          <t>Sin retención</t>
        </is>
      </c>
      <c r="B9" s="149">
        <f>SUMIFS(Conciliación!$X$8:$X$114,Conciliación!$AJ$8:$AJ$114,"Cobro",Conciliación!$U$8:$U$114,$A9)</f>
        <v/>
      </c>
      <c r="C9" s="149">
        <f>SUMIFS(Conciliación!$Y$8:$Y$114,Conciliación!$AJ$8:$AJ$114,"Cobro",Conciliación!$U$8:$U$114,$A9)</f>
        <v/>
      </c>
      <c r="D9" s="149">
        <f>SUMIFS(Conciliación!$Z$8:$Z$114,Conciliación!$AJ$8:$AJ$114,"Cobro",Conciliación!$U$8:$U$114,$A9)</f>
        <v/>
      </c>
      <c r="E9" s="149">
        <f>SUMIFS(Conciliación!$AA$8:$AA$114,Conciliación!$AJ$8:$AJ$114,"Cobro",Conciliación!$U$8:$U$114,$A9)</f>
        <v/>
      </c>
      <c r="F9" s="155">
        <f>COUNTIFS(Conciliación!$AJ$8:$AJ$114,"Cobro",Conciliación!$U$8:$U$114,$A9)</f>
        <v/>
      </c>
    </row>
    <row r="10" ht="14.25" customHeight="1" s="100">
      <c r="A10" s="110" t="inlineStr">
        <is>
          <t>Honorarios</t>
        </is>
      </c>
      <c r="B10" s="149">
        <f>SUMIFS(Conciliación!$X$8:$X$114,Conciliación!$AJ$8:$AJ$114,"Cobro",Conciliación!$U$8:$U$114,$A10)</f>
        <v/>
      </c>
      <c r="C10" s="149">
        <f>SUMIFS(Conciliación!$Y$8:$Y$114,Conciliación!$AJ$8:$AJ$114,"Cobro",Conciliación!$U$8:$U$114,$A10)</f>
        <v/>
      </c>
      <c r="D10" s="149">
        <f>SUMIFS(Conciliación!$Z$8:$Z$114,Conciliación!$AJ$8:$AJ$114,"Cobro",Conciliación!$U$8:$U$114,$A10)</f>
        <v/>
      </c>
      <c r="E10" s="149">
        <f>SUMIFS(Conciliación!$AA$8:$AA$114,Conciliación!$AJ$8:$AJ$114,"Cobro",Conciliación!$U$8:$U$114,$A10)</f>
        <v/>
      </c>
      <c r="F10" s="155">
        <f>COUNTIFS(Conciliación!$AJ$8:$AJ$114,"Cobro",Conciliación!$U$8:$U$114,$A10)</f>
        <v/>
      </c>
    </row>
    <row r="11" ht="14.25" customHeight="1" s="100">
      <c r="A11" s="111" t="inlineStr">
        <is>
          <t>Arrendamiento</t>
        </is>
      </c>
      <c r="B11" s="149">
        <f>SUMIFS(Conciliación!$X$8:$X$114,Conciliación!$AJ$8:$AJ$114,"Cobro",Conciliación!$U$8:$U$114,$A11)</f>
        <v/>
      </c>
      <c r="C11" s="149">
        <f>SUMIFS(Conciliación!$Y$8:$Y$114,Conciliación!$AJ$8:$AJ$114,"Cobro",Conciliación!$U$8:$U$114,$A11)</f>
        <v/>
      </c>
      <c r="D11" s="149">
        <f>SUMIFS(Conciliación!$Z$8:$Z$114,Conciliación!$AJ$8:$AJ$114,"Cobro",Conciliación!$U$8:$U$114,$A11)</f>
        <v/>
      </c>
      <c r="E11" s="149">
        <f>SUMIFS(Conciliación!$AA$8:$AA$114,Conciliación!$AJ$8:$AJ$114,"Cobro",Conciliación!$U$8:$U$114,$A11)</f>
        <v/>
      </c>
      <c r="F11" s="155">
        <f>COUNTIFS(Conciliación!$AJ$8:$AJ$114,"Cobro",Conciliación!$U$8:$U$114,$A11)</f>
        <v/>
      </c>
    </row>
    <row r="12" ht="14.25" customHeight="1" s="100">
      <c r="A12" s="112" t="inlineStr">
        <is>
          <t>RESICO actividad empresarial</t>
        </is>
      </c>
      <c r="B12" s="149">
        <f>SUMIFS(Conciliación!$X$8:$X$114,Conciliación!$AJ$8:$AJ$114,"Cobro",Conciliación!$U$8:$U$114,$A12)</f>
        <v/>
      </c>
      <c r="C12" s="149">
        <f>SUMIFS(Conciliación!$Y$8:$Y$114,Conciliación!$AJ$8:$AJ$114,"Cobro",Conciliación!$U$8:$U$114,$A12)</f>
        <v/>
      </c>
      <c r="D12" s="149">
        <f>SUMIFS(Conciliación!$Z$8:$Z$114,Conciliación!$AJ$8:$AJ$114,"Cobro",Conciliación!$U$8:$U$114,$A12)</f>
        <v/>
      </c>
      <c r="E12" s="149">
        <f>SUMIFS(Conciliación!$AA$8:$AA$114,Conciliación!$AJ$8:$AJ$114,"Cobro",Conciliación!$U$8:$U$114,$A12)</f>
        <v/>
      </c>
      <c r="F12" s="155">
        <f>COUNTIFS(Conciliación!$AJ$8:$AJ$114,"Cobro",Conciliación!$U$8:$U$114,$A12)</f>
        <v/>
      </c>
    </row>
    <row r="13" ht="14.25" customHeight="1" s="100">
      <c r="A13" s="113" t="inlineStr">
        <is>
          <t>RESICO honorarios</t>
        </is>
      </c>
      <c r="B13" s="149">
        <f>SUMIFS(Conciliación!$X$8:$X$114,Conciliación!$AJ$8:$AJ$114,"Cobro",Conciliación!$U$8:$U$114,$A13)</f>
        <v/>
      </c>
      <c r="C13" s="149">
        <f>SUMIFS(Conciliación!$Y$8:$Y$114,Conciliación!$AJ$8:$AJ$114,"Cobro",Conciliación!$U$8:$U$114,$A13)</f>
        <v/>
      </c>
      <c r="D13" s="149">
        <f>SUMIFS(Conciliación!$Z$8:$Z$114,Conciliación!$AJ$8:$AJ$114,"Cobro",Conciliación!$U$8:$U$114,$A13)</f>
        <v/>
      </c>
      <c r="E13" s="149">
        <f>SUMIFS(Conciliación!$AA$8:$AA$114,Conciliación!$AJ$8:$AJ$114,"Cobro",Conciliación!$U$8:$U$114,$A13)</f>
        <v/>
      </c>
      <c r="F13" s="155">
        <f>COUNTIFS(Conciliación!$AJ$8:$AJ$114,"Cobro",Conciliación!$U$8:$U$114,$A13)</f>
        <v/>
      </c>
    </row>
    <row r="14" ht="14.25" customHeight="1" s="100">
      <c r="A14" s="114" t="inlineStr">
        <is>
          <t>RESICO arrendamiento</t>
        </is>
      </c>
      <c r="B14" s="149">
        <f>SUMIFS(Conciliación!$X$8:$X$114,Conciliación!$AJ$8:$AJ$114,"Cobro",Conciliación!$U$8:$U$114,$A14)</f>
        <v/>
      </c>
      <c r="C14" s="149">
        <f>SUMIFS(Conciliación!$Y$8:$Y$114,Conciliación!$AJ$8:$AJ$114,"Cobro",Conciliación!$U$8:$U$114,$A14)</f>
        <v/>
      </c>
      <c r="D14" s="149">
        <f>SUMIFS(Conciliación!$Z$8:$Z$114,Conciliación!$AJ$8:$AJ$114,"Cobro",Conciliación!$U$8:$U$114,$A14)</f>
        <v/>
      </c>
      <c r="E14" s="149">
        <f>SUMIFS(Conciliación!$AA$8:$AA$114,Conciliación!$AJ$8:$AJ$114,"Cobro",Conciliación!$U$8:$U$114,$A14)</f>
        <v/>
      </c>
      <c r="F14" s="155">
        <f>COUNTIFS(Conciliación!$AJ$8:$AJ$114,"Cobro",Conciliación!$U$8:$U$114,$A14)</f>
        <v/>
      </c>
    </row>
    <row r="15" ht="14.25" customHeight="1" s="100">
      <c r="A15" s="115" t="inlineStr">
        <is>
          <t>Fletes</t>
        </is>
      </c>
      <c r="B15" s="149">
        <f>SUMIFS(Conciliación!$X$8:$X$114,Conciliación!$AJ$8:$AJ$114,"Cobro",Conciliación!$U$8:$U$114,$A15)</f>
        <v/>
      </c>
      <c r="C15" s="149">
        <f>SUMIFS(Conciliación!$Y$8:$Y$114,Conciliación!$AJ$8:$AJ$114,"Cobro",Conciliación!$U$8:$U$114,$A15)</f>
        <v/>
      </c>
      <c r="D15" s="149">
        <f>SUMIFS(Conciliación!$Z$8:$Z$114,Conciliación!$AJ$8:$AJ$114,"Cobro",Conciliación!$U$8:$U$114,$A15)</f>
        <v/>
      </c>
      <c r="E15" s="149">
        <f>SUMIFS(Conciliación!$AA$8:$AA$114,Conciliación!$AJ$8:$AJ$114,"Cobro",Conciliación!$U$8:$U$114,$A15)</f>
        <v/>
      </c>
      <c r="F15" s="155">
        <f>COUNTIFS(Conciliación!$AJ$8:$AJ$114,"Cobro",Conciliación!$U$8:$U$114,$A15)</f>
        <v/>
      </c>
    </row>
    <row r="16" ht="14.25" customHeight="1" s="100">
      <c r="A16" s="116" t="inlineStr">
        <is>
          <t>Comisiones</t>
        </is>
      </c>
      <c r="B16" s="149">
        <f>SUMIFS(Conciliación!$X$8:$X$114,Conciliación!$AJ$8:$AJ$114,"Cobro",Conciliación!$U$8:$U$114,$A16)</f>
        <v/>
      </c>
      <c r="C16" s="149">
        <f>SUMIFS(Conciliación!$Y$8:$Y$114,Conciliación!$AJ$8:$AJ$114,"Cobro",Conciliación!$U$8:$U$114,$A16)</f>
        <v/>
      </c>
      <c r="D16" s="149">
        <f>SUMIFS(Conciliación!$Z$8:$Z$114,Conciliación!$AJ$8:$AJ$114,"Cobro",Conciliación!$U$8:$U$114,$A16)</f>
        <v/>
      </c>
      <c r="E16" s="149">
        <f>SUMIFS(Conciliación!$AA$8:$AA$114,Conciliación!$AJ$8:$AJ$114,"Cobro",Conciliación!$U$8:$U$114,$A16)</f>
        <v/>
      </c>
      <c r="F16" s="155">
        <f>COUNTIFS(Conciliación!$AJ$8:$AJ$114,"Cobro",Conciliación!$U$8:$U$114,$A16)</f>
        <v/>
      </c>
    </row>
    <row r="17" ht="14.25" customHeight="1" s="100">
      <c r="A17" s="117" t="inlineStr">
        <is>
          <t>Otra retención</t>
        </is>
      </c>
      <c r="B17" s="149">
        <f>SUMIFS(Conciliación!$X$8:$X$114,Conciliación!$AJ$8:$AJ$114,"Cobro",Conciliación!$U$8:$U$114,$A17)</f>
        <v/>
      </c>
      <c r="C17" s="149">
        <f>SUMIFS(Conciliación!$Y$8:$Y$114,Conciliación!$AJ$8:$AJ$114,"Cobro",Conciliación!$U$8:$U$114,$A17)</f>
        <v/>
      </c>
      <c r="D17" s="149">
        <f>SUMIFS(Conciliación!$Z$8:$Z$114,Conciliación!$AJ$8:$AJ$114,"Cobro",Conciliación!$U$8:$U$114,$A17)</f>
        <v/>
      </c>
      <c r="E17" s="149">
        <f>SUMIFS(Conciliación!$AA$8:$AA$114,Conciliación!$AJ$8:$AJ$114,"Cobro",Conciliación!$U$8:$U$114,$A17)</f>
        <v/>
      </c>
      <c r="F17" s="155">
        <f>COUNTIFS(Conciliación!$AJ$8:$AJ$114,"Cobro",Conciliación!$U$8:$U$114,$A17)</f>
        <v/>
      </c>
    </row>
    <row r="18" ht="14.25" customHeight="1" s="100">
      <c r="A18" s="147" t="inlineStr">
        <is>
          <t>Total</t>
        </is>
      </c>
      <c r="B18" s="148">
        <f>SUM(B9:B17)</f>
        <v/>
      </c>
      <c r="C18" s="148">
        <f>SUM(C9:C17)</f>
        <v/>
      </c>
      <c r="D18" s="148">
        <f>SUM(D9:D17)</f>
        <v/>
      </c>
      <c r="E18" s="148">
        <f>SUM(E9:E17)</f>
        <v/>
      </c>
      <c r="F18" s="156">
        <f>SUM(F9:F17)</f>
        <v/>
      </c>
    </row>
    <row r="19"/>
    <row r="20"/>
    <row r="21" ht="16.5" customHeight="1" s="100">
      <c r="A21" s="153" t="inlineStr">
        <is>
          <t>Pagos a proveedores: IVA acreditable pagado</t>
        </is>
      </c>
    </row>
    <row r="22" ht="39.75" customHeight="1" s="100">
      <c r="A22" s="139" t="inlineStr">
        <is>
          <t>Tipo de retención</t>
        </is>
      </c>
      <c r="B22" s="139" t="inlineStr">
        <is>
          <t>Base</t>
        </is>
      </c>
      <c r="C22" s="139" t="inlineStr">
        <is>
          <t>IVA</t>
        </is>
      </c>
      <c r="D22" s="139" t="inlineStr">
        <is>
          <t>IVA retenido</t>
        </is>
      </c>
      <c r="E22" s="139" t="inlineStr">
        <is>
          <t>ISR retenido</t>
        </is>
      </c>
      <c r="F22" s="139" t="inlineStr">
        <is>
          <t>Renglones</t>
        </is>
      </c>
    </row>
    <row r="23" ht="14.25" customHeight="1" s="100">
      <c r="A23" s="154" t="inlineStr">
        <is>
          <t>Sin retención</t>
        </is>
      </c>
      <c r="B23" s="149">
        <f>SUMIFS(Conciliación!$X$8:$X$114,Conciliación!$AJ$8:$AJ$114,"Pago",Conciliación!$U$8:$U$114,$A23)</f>
        <v/>
      </c>
      <c r="C23" s="149">
        <f>SUMIFS(Conciliación!$Y$8:$Y$114,Conciliación!$AJ$8:$AJ$114,"Pago",Conciliación!$U$8:$U$114,$A23)</f>
        <v/>
      </c>
      <c r="D23" s="149">
        <f>SUMIFS(Conciliación!$Z$8:$Z$114,Conciliación!$AJ$8:$AJ$114,"Pago",Conciliación!$U$8:$U$114,$A23)</f>
        <v/>
      </c>
      <c r="E23" s="149">
        <f>SUMIFS(Conciliación!$AA$8:$AA$114,Conciliación!$AJ$8:$AJ$114,"Pago",Conciliación!$U$8:$U$114,$A23)</f>
        <v/>
      </c>
      <c r="F23" s="155">
        <f>COUNTIFS(Conciliación!$AJ$8:$AJ$114,"Pago",Conciliación!$U$8:$U$114,$A23)</f>
        <v/>
      </c>
    </row>
    <row r="24" ht="14.25" customHeight="1" s="100">
      <c r="A24" s="110" t="inlineStr">
        <is>
          <t>Honorarios</t>
        </is>
      </c>
      <c r="B24" s="149">
        <f>SUMIFS(Conciliación!$X$8:$X$114,Conciliación!$AJ$8:$AJ$114,"Pago",Conciliación!$U$8:$U$114,$A24)</f>
        <v/>
      </c>
      <c r="C24" s="149">
        <f>SUMIFS(Conciliación!$Y$8:$Y$114,Conciliación!$AJ$8:$AJ$114,"Pago",Conciliación!$U$8:$U$114,$A24)</f>
        <v/>
      </c>
      <c r="D24" s="149">
        <f>SUMIFS(Conciliación!$Z$8:$Z$114,Conciliación!$AJ$8:$AJ$114,"Pago",Conciliación!$U$8:$U$114,$A24)</f>
        <v/>
      </c>
      <c r="E24" s="149">
        <f>SUMIFS(Conciliación!$AA$8:$AA$114,Conciliación!$AJ$8:$AJ$114,"Pago",Conciliación!$U$8:$U$114,$A24)</f>
        <v/>
      </c>
      <c r="F24" s="155">
        <f>COUNTIFS(Conciliación!$AJ$8:$AJ$114,"Pago",Conciliación!$U$8:$U$114,$A24)</f>
        <v/>
      </c>
    </row>
    <row r="25" ht="14.25" customHeight="1" s="100">
      <c r="A25" s="111" t="inlineStr">
        <is>
          <t>Arrendamiento</t>
        </is>
      </c>
      <c r="B25" s="149">
        <f>SUMIFS(Conciliación!$X$8:$X$114,Conciliación!$AJ$8:$AJ$114,"Pago",Conciliación!$U$8:$U$114,$A25)</f>
        <v/>
      </c>
      <c r="C25" s="149">
        <f>SUMIFS(Conciliación!$Y$8:$Y$114,Conciliación!$AJ$8:$AJ$114,"Pago",Conciliación!$U$8:$U$114,$A25)</f>
        <v/>
      </c>
      <c r="D25" s="149">
        <f>SUMIFS(Conciliación!$Z$8:$Z$114,Conciliación!$AJ$8:$AJ$114,"Pago",Conciliación!$U$8:$U$114,$A25)</f>
        <v/>
      </c>
      <c r="E25" s="149">
        <f>SUMIFS(Conciliación!$AA$8:$AA$114,Conciliación!$AJ$8:$AJ$114,"Pago",Conciliación!$U$8:$U$114,$A25)</f>
        <v/>
      </c>
      <c r="F25" s="155">
        <f>COUNTIFS(Conciliación!$AJ$8:$AJ$114,"Pago",Conciliación!$U$8:$U$114,$A25)</f>
        <v/>
      </c>
    </row>
    <row r="26" ht="14.25" customHeight="1" s="100">
      <c r="A26" s="112" t="inlineStr">
        <is>
          <t>RESICO actividad empresarial</t>
        </is>
      </c>
      <c r="B26" s="149">
        <f>SUMIFS(Conciliación!$X$8:$X$114,Conciliación!$AJ$8:$AJ$114,"Pago",Conciliación!$U$8:$U$114,$A26)</f>
        <v/>
      </c>
      <c r="C26" s="149">
        <f>SUMIFS(Conciliación!$Y$8:$Y$114,Conciliación!$AJ$8:$AJ$114,"Pago",Conciliación!$U$8:$U$114,$A26)</f>
        <v/>
      </c>
      <c r="D26" s="149">
        <f>SUMIFS(Conciliación!$Z$8:$Z$114,Conciliación!$AJ$8:$AJ$114,"Pago",Conciliación!$U$8:$U$114,$A26)</f>
        <v/>
      </c>
      <c r="E26" s="149">
        <f>SUMIFS(Conciliación!$AA$8:$AA$114,Conciliación!$AJ$8:$AJ$114,"Pago",Conciliación!$U$8:$U$114,$A26)</f>
        <v/>
      </c>
      <c r="F26" s="155">
        <f>COUNTIFS(Conciliación!$AJ$8:$AJ$114,"Pago",Conciliación!$U$8:$U$114,$A26)</f>
        <v/>
      </c>
    </row>
    <row r="27" ht="14.25" customHeight="1" s="100">
      <c r="A27" s="113" t="inlineStr">
        <is>
          <t>RESICO honorarios</t>
        </is>
      </c>
      <c r="B27" s="149">
        <f>SUMIFS(Conciliación!$X$8:$X$114,Conciliación!$AJ$8:$AJ$114,"Pago",Conciliación!$U$8:$U$114,$A27)</f>
        <v/>
      </c>
      <c r="C27" s="149">
        <f>SUMIFS(Conciliación!$Y$8:$Y$114,Conciliación!$AJ$8:$AJ$114,"Pago",Conciliación!$U$8:$U$114,$A27)</f>
        <v/>
      </c>
      <c r="D27" s="149">
        <f>SUMIFS(Conciliación!$Z$8:$Z$114,Conciliación!$AJ$8:$AJ$114,"Pago",Conciliación!$U$8:$U$114,$A27)</f>
        <v/>
      </c>
      <c r="E27" s="149">
        <f>SUMIFS(Conciliación!$AA$8:$AA$114,Conciliación!$AJ$8:$AJ$114,"Pago",Conciliación!$U$8:$U$114,$A27)</f>
        <v/>
      </c>
      <c r="F27" s="155">
        <f>COUNTIFS(Conciliación!$AJ$8:$AJ$114,"Pago",Conciliación!$U$8:$U$114,$A27)</f>
        <v/>
      </c>
    </row>
    <row r="28" ht="14.25" customHeight="1" s="100">
      <c r="A28" s="114" t="inlineStr">
        <is>
          <t>RESICO arrendamiento</t>
        </is>
      </c>
      <c r="B28" s="149">
        <f>SUMIFS(Conciliación!$X$8:$X$114,Conciliación!$AJ$8:$AJ$114,"Pago",Conciliación!$U$8:$U$114,$A28)</f>
        <v/>
      </c>
      <c r="C28" s="149">
        <f>SUMIFS(Conciliación!$Y$8:$Y$114,Conciliación!$AJ$8:$AJ$114,"Pago",Conciliación!$U$8:$U$114,$A28)</f>
        <v/>
      </c>
      <c r="D28" s="149">
        <f>SUMIFS(Conciliación!$Z$8:$Z$114,Conciliación!$AJ$8:$AJ$114,"Pago",Conciliación!$U$8:$U$114,$A28)</f>
        <v/>
      </c>
      <c r="E28" s="149">
        <f>SUMIFS(Conciliación!$AA$8:$AA$114,Conciliación!$AJ$8:$AJ$114,"Pago",Conciliación!$U$8:$U$114,$A28)</f>
        <v/>
      </c>
      <c r="F28" s="155">
        <f>COUNTIFS(Conciliación!$AJ$8:$AJ$114,"Pago",Conciliación!$U$8:$U$114,$A28)</f>
        <v/>
      </c>
    </row>
    <row r="29" ht="14.25" customHeight="1" s="100">
      <c r="A29" s="115" t="inlineStr">
        <is>
          <t>Fletes</t>
        </is>
      </c>
      <c r="B29" s="149">
        <f>SUMIFS(Conciliación!$X$8:$X$114,Conciliación!$AJ$8:$AJ$114,"Pago",Conciliación!$U$8:$U$114,$A29)</f>
        <v/>
      </c>
      <c r="C29" s="149">
        <f>SUMIFS(Conciliación!$Y$8:$Y$114,Conciliación!$AJ$8:$AJ$114,"Pago",Conciliación!$U$8:$U$114,$A29)</f>
        <v/>
      </c>
      <c r="D29" s="149">
        <f>SUMIFS(Conciliación!$Z$8:$Z$114,Conciliación!$AJ$8:$AJ$114,"Pago",Conciliación!$U$8:$U$114,$A29)</f>
        <v/>
      </c>
      <c r="E29" s="149">
        <f>SUMIFS(Conciliación!$AA$8:$AA$114,Conciliación!$AJ$8:$AJ$114,"Pago",Conciliación!$U$8:$U$114,$A29)</f>
        <v/>
      </c>
      <c r="F29" s="155">
        <f>COUNTIFS(Conciliación!$AJ$8:$AJ$114,"Pago",Conciliación!$U$8:$U$114,$A29)</f>
        <v/>
      </c>
    </row>
    <row r="30" ht="14.25" customHeight="1" s="100">
      <c r="A30" s="116" t="inlineStr">
        <is>
          <t>Comisiones</t>
        </is>
      </c>
      <c r="B30" s="149">
        <f>SUMIFS(Conciliación!$X$8:$X$114,Conciliación!$AJ$8:$AJ$114,"Pago",Conciliación!$U$8:$U$114,$A30)</f>
        <v/>
      </c>
      <c r="C30" s="149">
        <f>SUMIFS(Conciliación!$Y$8:$Y$114,Conciliación!$AJ$8:$AJ$114,"Pago",Conciliación!$U$8:$U$114,$A30)</f>
        <v/>
      </c>
      <c r="D30" s="149">
        <f>SUMIFS(Conciliación!$Z$8:$Z$114,Conciliación!$AJ$8:$AJ$114,"Pago",Conciliación!$U$8:$U$114,$A30)</f>
        <v/>
      </c>
      <c r="E30" s="149">
        <f>SUMIFS(Conciliación!$AA$8:$AA$114,Conciliación!$AJ$8:$AJ$114,"Pago",Conciliación!$U$8:$U$114,$A30)</f>
        <v/>
      </c>
      <c r="F30" s="155">
        <f>COUNTIFS(Conciliación!$AJ$8:$AJ$114,"Pago",Conciliación!$U$8:$U$114,$A30)</f>
        <v/>
      </c>
    </row>
    <row r="31" ht="14.25" customHeight="1" s="100">
      <c r="A31" s="117" t="inlineStr">
        <is>
          <t>Otra retención</t>
        </is>
      </c>
      <c r="B31" s="149">
        <f>SUMIFS(Conciliación!$X$8:$X$114,Conciliación!$AJ$8:$AJ$114,"Pago",Conciliación!$U$8:$U$114,$A31)</f>
        <v/>
      </c>
      <c r="C31" s="149">
        <f>SUMIFS(Conciliación!$Y$8:$Y$114,Conciliación!$AJ$8:$AJ$114,"Pago",Conciliación!$U$8:$U$114,$A31)</f>
        <v/>
      </c>
      <c r="D31" s="149">
        <f>SUMIFS(Conciliación!$Z$8:$Z$114,Conciliación!$AJ$8:$AJ$114,"Pago",Conciliación!$U$8:$U$114,$A31)</f>
        <v/>
      </c>
      <c r="E31" s="149">
        <f>SUMIFS(Conciliación!$AA$8:$AA$114,Conciliación!$AJ$8:$AJ$114,"Pago",Conciliación!$U$8:$U$114,$A31)</f>
        <v/>
      </c>
      <c r="F31" s="155">
        <f>COUNTIFS(Conciliación!$AJ$8:$AJ$114,"Pago",Conciliación!$U$8:$U$114,$A31)</f>
        <v/>
      </c>
    </row>
    <row r="32" ht="14.25" customHeight="1" s="100">
      <c r="A32" s="147" t="inlineStr">
        <is>
          <t>Total</t>
        </is>
      </c>
      <c r="B32" s="148">
        <f>SUM(B23:B31)</f>
        <v/>
      </c>
      <c r="C32" s="148">
        <f>SUM(C23:C31)</f>
        <v/>
      </c>
      <c r="D32" s="148">
        <f>SUM(D23:D31)</f>
        <v/>
      </c>
      <c r="E32" s="148">
        <f>SUM(E23:E31)</f>
        <v/>
      </c>
      <c r="F32" s="156">
        <f>SUM(F23:F31)</f>
        <v/>
      </c>
    </row>
    <row r="33"/>
    <row r="34"/>
    <row r="35" ht="16.5" customHeight="1" s="100">
      <c r="A35" s="153" t="inlineStr">
        <is>
          <t>Cuadre del flujo contra el banco</t>
        </is>
      </c>
    </row>
    <row r="36" ht="39.75" customHeight="1" s="100">
      <c r="A36" s="139" t="inlineStr">
        <is>
          <t>Concepto</t>
        </is>
      </c>
      <c r="B36" s="139" t="inlineStr">
        <is>
          <t>Cobros</t>
        </is>
      </c>
      <c r="C36" s="139" t="inlineStr">
        <is>
          <t>Pagos</t>
        </is>
      </c>
      <c r="D36" s="139" t="n"/>
      <c r="E36" s="139" t="n"/>
      <c r="F36" s="139" t="n"/>
    </row>
    <row r="37" ht="14.25" customHeight="1" s="100">
      <c r="A37" s="109" t="inlineStr">
        <is>
          <t>Amparado con CFDI</t>
        </is>
      </c>
      <c r="B37" s="149">
        <f>SUMIFS(Conciliación!$W$8:$W$114,Conciliación!$AJ$8:$AJ$114,"Cobro",Conciliación!$O$8:$O$114,"?*")</f>
        <v/>
      </c>
      <c r="C37" s="149">
        <f>SUMIFS(Conciliación!$W$8:$W$114,Conciliación!$AJ$8:$AJ$114,"Pago",Conciliación!$O$8:$O$114,"?*")</f>
        <v/>
      </c>
    </row>
    <row r="38" ht="14.25" customHeight="1" s="100">
      <c r="A38" s="109" t="inlineStr">
        <is>
          <t>No requiere CFDI individual</t>
        </is>
      </c>
      <c r="B38" s="149">
        <f>SUMIFS(Conciliación!$W$8:$W$114,Conciliación!$AJ$8:$AJ$114,"Cobro",Conciliación!$N$8:$N$114,"No requiere CFDI")</f>
        <v/>
      </c>
      <c r="C38" s="149">
        <f>SUMIFS(Conciliación!$W$8:$W$114,Conciliación!$AJ$8:$AJ$114,"Pago",Conciliación!$N$8:$N$114,"No requiere CFDI")</f>
        <v/>
      </c>
    </row>
    <row r="39" ht="14.25" customHeight="1" s="100">
      <c r="A39" s="109" t="inlineStr">
        <is>
          <t>Sin CFDI (no identificado)</t>
        </is>
      </c>
      <c r="B39" s="149">
        <f>SUMIFS(Conciliación!$W$8:$W$114,Conciliación!$AJ$8:$AJ$114,"Cobro",Conciliación!$N$8:$N$114,"Sin CFDI")</f>
        <v/>
      </c>
      <c r="C39" s="149">
        <f>SUMIFS(Conciliación!$W$8:$W$114,Conciliación!$AJ$8:$AJ$114,"Pago",Conciliación!$N$8:$N$114,"Sin CFDI")</f>
        <v/>
      </c>
    </row>
    <row r="40" ht="14.25" customHeight="1" s="100">
      <c r="A40" s="109" t="inlineStr">
        <is>
          <t>Excedente de movimientos en revisión</t>
        </is>
      </c>
      <c r="B40" s="149">
        <f>SUMIFS(Conciliación!$AK$8:$AK$114,Conciliación!$AJ$8:$AJ$114,"Cobro")</f>
        <v/>
      </c>
      <c r="C40" s="149">
        <f>SUMIFS(Conciliación!$AK$8:$AK$114,Conciliación!$AJ$8:$AJ$114,"Pago")</f>
        <v/>
      </c>
    </row>
    <row r="41" ht="14.25" customHeight="1" s="100">
      <c r="A41" s="157" t="inlineStr">
        <is>
          <t>Total explicado</t>
        </is>
      </c>
      <c r="B41" s="127">
        <f>SUM(B37:B40)</f>
        <v/>
      </c>
      <c r="C41" s="127">
        <f>SUM(C37:C40)</f>
        <v/>
      </c>
    </row>
    <row r="42" ht="14.25" customHeight="1" s="100">
      <c r="A42" s="157" t="inlineStr">
        <is>
          <t>Según estado de cuenta</t>
        </is>
      </c>
      <c r="B42" s="127">
        <f>'Estado de cuenta'!L17</f>
        <v/>
      </c>
      <c r="C42" s="127">
        <f>'Estado de cuenta'!L18</f>
        <v/>
      </c>
    </row>
    <row r="43" ht="14.25" customHeight="1" s="100">
      <c r="A43" s="157" t="inlineStr">
        <is>
          <t>Diferencia</t>
        </is>
      </c>
      <c r="B43" s="158">
        <f>ROUND(B41-B42,2)</f>
        <v/>
      </c>
      <c r="C43" s="158">
        <f>ROUND(C41-C42,2)</f>
        <v/>
      </c>
    </row>
    <row r="44" ht="14.25" customHeight="1" s="100">
      <c r="A44" s="159" t="inlineStr">
        <is>
          <t>Si la diferencia es cero, todo peso que entró o salió del banco quedó explicado en la conciliación.</t>
        </is>
      </c>
    </row>
  </sheetData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52E27"/>
    <outlinePr summaryBelow="1" summaryRight="1"/>
    <pageSetUpPr fitToPage="1"/>
  </sheetPr>
  <dimension ref="A1:H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3" customWidth="1" style="99" min="1" max="1"/>
    <col width="4" customWidth="1" style="99" min="2" max="2"/>
    <col width="46" customWidth="1" style="99" min="3" max="3"/>
    <col width="4" customWidth="1" style="99" min="4" max="4"/>
    <col width="18" customWidth="1" style="99" min="5" max="6"/>
    <col width="4" customWidth="1" style="99" min="7" max="7"/>
    <col width="40" customWidth="1" style="99" min="8" max="8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</row>
    <row r="2" ht="25.5" customHeight="1" s="100">
      <c r="A2" s="101" t="n"/>
      <c r="B2" s="101" t="n"/>
      <c r="C2" s="103" t="inlineStr">
        <is>
          <t>Previo de impuestos del mes</t>
        </is>
      </c>
      <c r="D2" s="101" t="n"/>
      <c r="E2" s="101" t="n"/>
      <c r="F2" s="101" t="n"/>
      <c r="G2" s="101" t="n"/>
      <c r="H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</row>
    <row r="4"/>
    <row r="5" ht="14.25" customHeight="1" s="100">
      <c r="A5" s="105" t="inlineStr">
        <is>
          <t>Cálculo preliminar para enviar al cliente. Se alimenta del Desglose fiscal; las celdas en azul claro se capturan a mano.</t>
        </is>
      </c>
    </row>
    <row r="6"/>
    <row r="7" ht="16.5" customHeight="1" s="100">
      <c r="C7" s="153" t="inlineStr">
        <is>
          <t>Cálculo de impuestos correspondientes al mes de &lt;Mes Año&gt;</t>
        </is>
      </c>
    </row>
    <row r="8"/>
    <row r="9" ht="14.25" customHeight="1" s="100">
      <c r="E9" s="160" t="inlineStr">
        <is>
          <t>Importe</t>
        </is>
      </c>
      <c r="F9" s="160" t="inlineStr">
        <is>
          <t>A pagar</t>
        </is>
      </c>
    </row>
    <row r="10"/>
    <row r="11" ht="14.25" customHeight="1" s="100">
      <c r="C11" s="161" t="inlineStr">
        <is>
          <t>ISR retenciones</t>
        </is>
      </c>
      <c r="D11" s="101" t="n"/>
      <c r="E11" s="101" t="n"/>
      <c r="F11" s="101" t="n"/>
    </row>
    <row r="12" ht="14.25" customHeight="1" s="100">
      <c r="C12" s="126" t="inlineStr">
        <is>
          <t>ISR retenido por salarios</t>
        </is>
      </c>
      <c r="D12" s="162" t="n"/>
      <c r="E12" s="163" t="n">
        <v>0</v>
      </c>
      <c r="F12" s="162" t="n"/>
      <c r="H12" s="164" t="inlineStr">
        <is>
          <t>Captura el ISR de la nómina del mes.</t>
        </is>
      </c>
    </row>
    <row r="13" ht="14.25" customHeight="1" s="100">
      <c r="C13" s="126" t="inlineStr">
        <is>
          <t>ISR retenido por arrendamiento</t>
        </is>
      </c>
      <c r="D13" s="162" t="n"/>
      <c r="E13" s="155">
        <f>ROUNDDOWN((SUMIFS('Desglose fiscal'!E23:E31,'Desglose fiscal'!A23:A31,"Arrendamiento"))+0.49,0)</f>
        <v/>
      </c>
      <c r="F13" s="162" t="n"/>
    </row>
    <row r="14" ht="14.25" customHeight="1" s="100">
      <c r="C14" s="126" t="inlineStr">
        <is>
          <t>ISR retenido a RESICO</t>
        </is>
      </c>
      <c r="D14" s="162" t="n"/>
      <c r="E14" s="155">
        <f>ROUNDDOWN((SUMIFS('Desglose fiscal'!E23:E31,'Desglose fiscal'!A23:A31,"RESICO actividad empresarial")+SUMIFS('Desglose fiscal'!E23:E31,'Desglose fiscal'!A23:A31,"RESICO honorarios")+SUMIFS('Desglose fiscal'!E23:E31,'Desglose fiscal'!A23:A31,"RESICO arrendamiento"))+0.49,0)</f>
        <v/>
      </c>
      <c r="F14" s="162" t="n"/>
    </row>
    <row r="15" ht="14.25" customHeight="1" s="100">
      <c r="C15" s="126" t="inlineStr">
        <is>
          <t>ISR retenido por servicios profesionales</t>
        </is>
      </c>
      <c r="D15" s="162" t="n"/>
      <c r="E15" s="155">
        <f>ROUNDDOWN((SUMIFS('Desglose fiscal'!E23:E31,'Desglose fiscal'!A23:A31,"Honorarios"))+0.49,0)</f>
        <v/>
      </c>
      <c r="F15" s="162" t="n"/>
    </row>
    <row r="16" ht="14.25" customHeight="1" s="100">
      <c r="C16" s="165" t="inlineStr">
        <is>
          <t>Total ISR retenido por pagar</t>
        </is>
      </c>
      <c r="F16" s="166">
        <f>SUM(E12:E15)</f>
        <v/>
      </c>
    </row>
    <row r="17"/>
    <row r="18" ht="14.25" customHeight="1" s="100">
      <c r="C18" s="161" t="inlineStr">
        <is>
          <t>ISR propio de la persona moral</t>
        </is>
      </c>
      <c r="D18" s="101" t="n"/>
      <c r="E18" s="101" t="n"/>
      <c r="F18" s="101" t="n"/>
    </row>
    <row r="19" ht="20.25" customHeight="1" s="100">
      <c r="C19" s="126" t="inlineStr">
        <is>
          <t>ISR del pago provisional</t>
        </is>
      </c>
      <c r="D19" s="162" t="n"/>
      <c r="E19" s="163" t="n">
        <v>0</v>
      </c>
      <c r="F19" s="162" t="n"/>
      <c r="H19" s="164" t="inlineStr">
        <is>
          <t>Si es el primer ejercicio: sin pago provisional según el art. 14 de la LISR. Por confirmar.</t>
        </is>
      </c>
    </row>
    <row r="20" ht="14.25" customHeight="1" s="100">
      <c r="C20" s="126" t="inlineStr">
        <is>
          <t>(-) Pagos provisionales anteriores</t>
        </is>
      </c>
      <c r="D20" s="162" t="n"/>
      <c r="E20" s="163" t="n">
        <v>0</v>
      </c>
      <c r="F20" s="162" t="n"/>
    </row>
    <row r="21" ht="14.25" customHeight="1" s="100">
      <c r="C21" s="126" t="inlineStr">
        <is>
          <t>(+) Recargos y actualización</t>
        </is>
      </c>
      <c r="D21" s="162" t="n"/>
      <c r="E21" s="163" t="n">
        <v>0</v>
      </c>
      <c r="F21" s="162" t="n"/>
    </row>
    <row r="22" ht="14.25" customHeight="1" s="100">
      <c r="C22" s="165" t="inlineStr">
        <is>
          <t>Total ISR persona moral por pagar</t>
        </is>
      </c>
      <c r="F22" s="166">
        <f>MAX(0,E19-E20+E21)</f>
        <v/>
      </c>
    </row>
    <row r="23"/>
    <row r="24" ht="14.25" customHeight="1" s="100">
      <c r="C24" s="161" t="inlineStr">
        <is>
          <t>IVA (Impuesto al Valor Agregado)</t>
        </is>
      </c>
      <c r="D24" s="101" t="n"/>
      <c r="E24" s="101" t="n"/>
      <c r="F24" s="101" t="n"/>
    </row>
    <row r="25" ht="14.25" customHeight="1" s="100">
      <c r="C25" s="126" t="inlineStr">
        <is>
          <t>IVA cobrado 16%</t>
        </is>
      </c>
      <c r="D25" s="162" t="n"/>
      <c r="E25" s="155">
        <f>ROUNDDOWN(('Desglose fiscal'!C18)+0.49,0)</f>
        <v/>
      </c>
      <c r="F25" s="162" t="n"/>
    </row>
    <row r="26" ht="14.25" customHeight="1" s="100">
      <c r="C26" s="126" t="inlineStr">
        <is>
          <t>(-) IVA pagado 16%</t>
        </is>
      </c>
      <c r="D26" s="162" t="n"/>
      <c r="E26" s="155">
        <f>ROUNDDOWN(('Desglose fiscal'!C32)+0.49,0)</f>
        <v/>
      </c>
      <c r="F26" s="162" t="n"/>
    </row>
    <row r="27" ht="14.25" customHeight="1" s="100">
      <c r="C27" s="126" t="inlineStr">
        <is>
          <t>(-) Aplicación de saldo a favor de meses anteriores</t>
        </is>
      </c>
      <c r="D27" s="162" t="n"/>
      <c r="E27" s="163" t="n">
        <v>0</v>
      </c>
      <c r="F27" s="162" t="n"/>
      <c r="H27" s="164" t="inlineStr">
        <is>
          <t>Captura el remanente que vas a aplicar.</t>
        </is>
      </c>
    </row>
    <row r="28" ht="14.25" customHeight="1" s="100">
      <c r="C28" s="165" t="inlineStr">
        <is>
          <t>Total IVA por pagar</t>
        </is>
      </c>
      <c r="F28" s="166">
        <f>MAX(0,E25-E26-E27)</f>
        <v/>
      </c>
    </row>
    <row r="29" ht="14.25" customHeight="1" s="100">
      <c r="C29" s="167" t="inlineStr">
        <is>
          <t>IVA a favor del mes</t>
        </is>
      </c>
      <c r="F29" s="168">
        <f>MAX(0,E26+E27-E25)</f>
        <v/>
      </c>
    </row>
    <row r="30"/>
    <row r="31" ht="14.25" customHeight="1" s="100">
      <c r="C31" s="161" t="inlineStr">
        <is>
          <t>IVA retenido</t>
        </is>
      </c>
      <c r="D31" s="101" t="n"/>
      <c r="E31" s="101" t="n"/>
      <c r="F31" s="101" t="n"/>
    </row>
    <row r="32" ht="14.25" customHeight="1" s="100">
      <c r="C32" s="126" t="inlineStr">
        <is>
          <t>IVA retenido a proveedores</t>
        </is>
      </c>
      <c r="D32" s="162" t="n"/>
      <c r="E32" s="155">
        <f>ROUNDDOWN(('Desglose fiscal'!D32)+0.49,0)</f>
        <v/>
      </c>
      <c r="F32" s="162" t="n"/>
    </row>
    <row r="33" ht="14.25" customHeight="1" s="100">
      <c r="C33" s="165" t="inlineStr">
        <is>
          <t>Total IVA retenido por pagar</t>
        </is>
      </c>
      <c r="F33" s="166">
        <f>E32</f>
        <v/>
      </c>
    </row>
    <row r="34"/>
    <row r="35"/>
    <row r="36" ht="25.5" customHeight="1" s="100">
      <c r="C36" s="169" t="inlineStr">
        <is>
          <t>TOTAL A PAGAR</t>
        </is>
      </c>
      <c r="D36" s="170" t="n"/>
      <c r="E36" s="170" t="n"/>
      <c r="F36" s="171">
        <f>F16+F22+F28+F33</f>
        <v/>
      </c>
    </row>
    <row r="37"/>
    <row r="38" ht="15" customHeight="1" s="100">
      <c r="C38" s="172" t="inlineStr">
        <is>
          <t>Los importes se ajustan a pesos como indica el art. 20 del CFF: de 1 a 50 centavos bajan y de 51 a 99 suben. Cifras preliminares sujetas a la revisión del papel de trabajo.</t>
        </is>
      </c>
    </row>
    <row r="39" ht="14.25" customHeight="1" s="100"/>
    <row r="40"/>
    <row r="41" ht="14.25" customHeight="1" s="100">
      <c r="C41" s="129" t="inlineStr">
        <is>
          <t>Comparativo contra el previo manual del analista (etapa de pruebas)</t>
        </is>
      </c>
    </row>
    <row r="42" ht="14.25" customHeight="1" s="100">
      <c r="C42" s="173" t="inlineStr">
        <is>
          <t>Concepto</t>
        </is>
      </c>
      <c r="E42" s="173" t="inlineStr">
        <is>
          <t>Manual</t>
        </is>
      </c>
      <c r="F42" s="173" t="inlineStr">
        <is>
          <t>Este libro</t>
        </is>
      </c>
      <c r="G42" s="173" t="inlineStr">
        <is>
          <t>Odoo</t>
        </is>
      </c>
      <c r="H42" s="173" t="inlineStr">
        <is>
          <t>Diferencia libro vs manual</t>
        </is>
      </c>
    </row>
    <row r="43" ht="14.25" customHeight="1" s="100">
      <c r="C43" s="126" t="inlineStr">
        <is>
          <t>IVA cobrado 16%</t>
        </is>
      </c>
      <c r="E43" s="174" t="n"/>
      <c r="F43" s="149">
        <f>E25</f>
        <v/>
      </c>
      <c r="G43" s="149">
        <f>'Impuestos vs Odoo'!D10</f>
        <v/>
      </c>
      <c r="H43" s="149">
        <f>F43-E43</f>
        <v/>
      </c>
    </row>
    <row r="44" ht="14.25" customHeight="1" s="100">
      <c r="C44" s="126" t="inlineStr">
        <is>
          <t>IVA pagado 16%</t>
        </is>
      </c>
      <c r="E44" s="174" t="n"/>
      <c r="F44" s="149">
        <f>E26</f>
        <v/>
      </c>
      <c r="G44" s="149">
        <f>'Impuestos vs Odoo'!D9</f>
        <v/>
      </c>
      <c r="H44" s="149">
        <f>F44-E44</f>
        <v/>
      </c>
    </row>
    <row r="45" ht="14.25" customHeight="1" s="100">
      <c r="C45" s="126" t="inlineStr">
        <is>
          <t>IVA retenido</t>
        </is>
      </c>
      <c r="E45" s="174" t="n"/>
      <c r="F45" s="149">
        <f>E32</f>
        <v/>
      </c>
      <c r="G45" s="149" t="n"/>
      <c r="H45" s="149">
        <f>F45-E45</f>
        <v/>
      </c>
    </row>
    <row r="46" ht="14.25" customHeight="1" s="100">
      <c r="C46" s="126" t="inlineStr">
        <is>
          <t>ISR retenido (servicios profesionales y RESICO)</t>
        </is>
      </c>
      <c r="E46" s="174" t="n"/>
      <c r="F46" s="149">
        <f>E14+E15</f>
        <v/>
      </c>
      <c r="G46" s="149" t="n"/>
      <c r="H46" s="149">
        <f>F46-E46</f>
        <v/>
      </c>
    </row>
    <row r="47" ht="14.25" customHeight="1" s="100">
      <c r="C47" s="150" t="inlineStr">
        <is>
          <t>Fuente de la columna Manual: previo del analista. Se borra al terminar las pruebas.</t>
        </is>
      </c>
    </row>
  </sheetData>
  <mergeCells count="1">
    <mergeCell ref="C38:H39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M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zeroHeight="0" outlineLevelRow="0"/>
  <cols>
    <col width="9" customWidth="1" style="99" min="1" max="1"/>
    <col width="11" customWidth="1" style="99" min="2" max="2"/>
    <col width="8" customWidth="1" style="99" min="3" max="3"/>
    <col width="58" customWidth="1" style="99" min="4" max="4"/>
    <col width="14" customWidth="1" style="99" min="5" max="6"/>
    <col width="15" customWidth="1" style="99" min="7" max="7"/>
    <col width="3" customWidth="1" style="99" min="8" max="10"/>
    <col width="30" customWidth="1" style="99" min="11" max="11"/>
    <col width="20" customWidth="1" style="99" min="12" max="12"/>
    <col width="16" customWidth="1" style="99" min="13" max="13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</row>
    <row r="2" ht="25.5" customHeight="1" s="100">
      <c r="A2" s="101" t="n"/>
      <c r="B2" s="101" t="n"/>
      <c r="C2" s="103" t="inlineStr">
        <is>
          <t>Estado de cuenta bancario</t>
        </is>
      </c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</row>
    <row r="4"/>
    <row r="5" ht="14.25" customHeight="1" s="100">
      <c r="A5" s="105" t="inlineStr">
        <is>
          <t>Leído directamente del PDF del banco. Los movimientos van a la izquierda y la carátula a la derecha; el control de saldos compara ambos.</t>
        </is>
      </c>
    </row>
    <row r="6"/>
    <row r="7" ht="39.75" customHeight="1" s="100">
      <c r="A7" s="139" t="inlineStr">
        <is>
          <t>Partida</t>
        </is>
      </c>
      <c r="B7" s="139" t="inlineStr">
        <is>
          <t>Fecha</t>
        </is>
      </c>
      <c r="C7" s="139" t="inlineStr">
        <is>
          <t>Código</t>
        </is>
      </c>
      <c r="D7" s="139" t="inlineStr">
        <is>
          <t>Descripción completa</t>
        </is>
      </c>
      <c r="E7" s="139" t="inlineStr">
        <is>
          <t>Cargos</t>
        </is>
      </c>
      <c r="F7" s="139" t="inlineStr">
        <is>
          <t>Abonos</t>
        </is>
      </c>
      <c r="G7" s="139" t="inlineStr">
        <is>
          <t>Saldo</t>
        </is>
      </c>
      <c r="K7" s="175" t="inlineStr">
        <is>
          <t>CARÁTULA DEL ESTADO DE CUENTA</t>
        </is>
      </c>
      <c r="L7" s="101" t="n"/>
      <c r="M7" s="101" t="n"/>
    </row>
    <row r="8" ht="14.25" customHeight="1" s="100">
      <c r="A8" s="141" t="n"/>
      <c r="B8" s="142" t="n"/>
      <c r="C8" s="141" t="n"/>
      <c r="D8" s="146" t="n"/>
      <c r="E8" s="143" t="n"/>
      <c r="F8" s="143" t="n"/>
      <c r="G8" s="143">
        <f>$L$16+F8-E8</f>
        <v/>
      </c>
      <c r="K8" s="176" t="inlineStr">
        <is>
          <t>Banco</t>
        </is>
      </c>
      <c r="L8" s="177" t="n"/>
      <c r="M8" s="162" t="n"/>
    </row>
    <row r="9" ht="22.5" customHeight="1" s="100">
      <c r="A9" s="141" t="n"/>
      <c r="B9" s="142" t="n"/>
      <c r="C9" s="141" t="n"/>
      <c r="D9" s="146" t="n"/>
      <c r="E9" s="143" t="n"/>
      <c r="F9" s="143" t="n"/>
      <c r="G9" s="143">
        <f>G8+F9-E9</f>
        <v/>
      </c>
      <c r="K9" s="176" t="inlineStr">
        <is>
          <t>Producto</t>
        </is>
      </c>
      <c r="L9" s="177" t="n"/>
      <c r="M9" s="162" t="n"/>
    </row>
    <row r="10" ht="22.5" customHeight="1" s="100">
      <c r="A10" s="141" t="n"/>
      <c r="B10" s="142" t="n"/>
      <c r="C10" s="141" t="n"/>
      <c r="D10" s="146" t="n"/>
      <c r="E10" s="143" t="n"/>
      <c r="F10" s="143" t="n"/>
      <c r="G10" s="143">
        <f>G9+F10-E10</f>
        <v/>
      </c>
      <c r="K10" s="176" t="inlineStr">
        <is>
          <t>Titular</t>
        </is>
      </c>
      <c r="L10" s="177" t="n"/>
      <c r="M10" s="162" t="n"/>
    </row>
    <row r="11" ht="22.5" customHeight="1" s="100">
      <c r="A11" s="141" t="n"/>
      <c r="B11" s="142" t="n"/>
      <c r="C11" s="141" t="n"/>
      <c r="D11" s="146" t="n"/>
      <c r="E11" s="143" t="n"/>
      <c r="F11" s="143" t="n"/>
      <c r="G11" s="143">
        <f>G10+F11-E11</f>
        <v/>
      </c>
      <c r="K11" s="176" t="inlineStr">
        <is>
          <t>RFC</t>
        </is>
      </c>
      <c r="L11" s="177" t="n"/>
      <c r="M11" s="162" t="n"/>
    </row>
    <row r="12" ht="22.5" customHeight="1" s="100">
      <c r="A12" s="141" t="n"/>
      <c r="B12" s="142" t="n"/>
      <c r="C12" s="141" t="n"/>
      <c r="D12" s="146" t="n"/>
      <c r="E12" s="143" t="n"/>
      <c r="F12" s="143" t="n"/>
      <c r="G12" s="143">
        <f>G11+F12-E12</f>
        <v/>
      </c>
      <c r="K12" s="176" t="inlineStr">
        <is>
          <t>Número de cuenta</t>
        </is>
      </c>
      <c r="L12" s="177" t="n"/>
      <c r="M12" s="162" t="n"/>
    </row>
    <row r="13" ht="33.75" customHeight="1" s="100">
      <c r="A13" s="141" t="n"/>
      <c r="B13" s="142" t="n"/>
      <c r="C13" s="141" t="n"/>
      <c r="D13" s="146" t="n"/>
      <c r="E13" s="143" t="n"/>
      <c r="F13" s="143" t="n"/>
      <c r="G13" s="143">
        <f>G12+F13-E13</f>
        <v/>
      </c>
      <c r="K13" s="176" t="inlineStr">
        <is>
          <t>CLABE</t>
        </is>
      </c>
      <c r="L13" s="177" t="n"/>
      <c r="M13" s="162" t="n"/>
    </row>
    <row r="14" ht="14.25" customHeight="1" s="100">
      <c r="A14" s="141" t="n"/>
      <c r="B14" s="142" t="n"/>
      <c r="C14" s="141" t="n"/>
      <c r="D14" s="146" t="n"/>
      <c r="E14" s="143" t="n"/>
      <c r="F14" s="143" t="n"/>
      <c r="G14" s="143">
        <f>G13+F14-E14</f>
        <v/>
      </c>
      <c r="K14" s="176" t="inlineStr">
        <is>
          <t>Número de cliente</t>
        </is>
      </c>
      <c r="L14" s="177" t="n"/>
      <c r="M14" s="162" t="n"/>
    </row>
    <row r="15" ht="22.5" customHeight="1" s="100">
      <c r="A15" s="141" t="n"/>
      <c r="B15" s="142" t="n"/>
      <c r="C15" s="141" t="n"/>
      <c r="D15" s="146" t="n"/>
      <c r="E15" s="143" t="n"/>
      <c r="F15" s="143" t="n"/>
      <c r="G15" s="143">
        <f>G14+F15-E15</f>
        <v/>
      </c>
      <c r="K15" s="176" t="inlineStr">
        <is>
          <t>Sucursal</t>
        </is>
      </c>
      <c r="L15" s="178" t="n"/>
      <c r="M15" s="178" t="n"/>
    </row>
    <row r="16" ht="14.25" customHeight="1" s="100">
      <c r="A16" s="141" t="n"/>
      <c r="B16" s="142" t="n"/>
      <c r="C16" s="141" t="n"/>
      <c r="D16" s="146" t="n"/>
      <c r="E16" s="143" t="n"/>
      <c r="F16" s="143" t="n"/>
      <c r="G16" s="143">
        <f>G15+F16-E16</f>
        <v/>
      </c>
      <c r="K16" s="179" t="inlineStr">
        <is>
          <t>Saldo inicial</t>
        </is>
      </c>
      <c r="L16" s="127" t="n"/>
      <c r="M16" s="155" t="n"/>
    </row>
    <row r="17" ht="14.25" customHeight="1" s="100">
      <c r="A17" s="141" t="n"/>
      <c r="B17" s="142" t="n"/>
      <c r="C17" s="141" t="n"/>
      <c r="D17" s="146" t="n"/>
      <c r="E17" s="143" t="n"/>
      <c r="F17" s="143" t="n"/>
      <c r="G17" s="143">
        <f>G16+F17-E17</f>
        <v/>
      </c>
      <c r="K17" s="126" t="inlineStr">
        <is>
          <t>Depósitos / abonos (+)</t>
        </is>
      </c>
      <c r="L17" s="149" t="n"/>
      <c r="M17" s="155" t="n"/>
    </row>
    <row r="18" ht="14.25" customHeight="1" s="100">
      <c r="A18" s="141" t="n"/>
      <c r="B18" s="142" t="n"/>
      <c r="C18" s="141" t="n"/>
      <c r="D18" s="146" t="n"/>
      <c r="E18" s="143" t="n"/>
      <c r="F18" s="143" t="n"/>
      <c r="G18" s="143">
        <f>G17+F18-E18</f>
        <v/>
      </c>
      <c r="K18" s="126" t="inlineStr">
        <is>
          <t>Retiros / cargos (-)</t>
        </is>
      </c>
      <c r="L18" s="149" t="n"/>
      <c r="M18" s="155" t="n"/>
    </row>
    <row r="19" ht="22.5" customHeight="1" s="100">
      <c r="A19" s="141" t="n"/>
      <c r="B19" s="142" t="n"/>
      <c r="C19" s="141" t="n"/>
      <c r="D19" s="146" t="n"/>
      <c r="E19" s="143" t="n"/>
      <c r="F19" s="143" t="n"/>
      <c r="G19" s="143">
        <f>G18+F19-E19</f>
        <v/>
      </c>
      <c r="K19" s="179" t="inlineStr">
        <is>
          <t>Saldo final</t>
        </is>
      </c>
      <c r="L19" s="158" t="n"/>
      <c r="M19" s="155" t="n"/>
    </row>
    <row r="20" ht="22.5" customHeight="1" s="100">
      <c r="A20" s="141" t="n"/>
      <c r="B20" s="142" t="n"/>
      <c r="C20" s="141" t="n"/>
      <c r="D20" s="146" t="n"/>
      <c r="E20" s="143" t="n"/>
      <c r="F20" s="143" t="n"/>
      <c r="G20" s="143">
        <f>G19+F20-E20</f>
        <v/>
      </c>
      <c r="K20" s="126" t="inlineStr">
        <is>
          <t>Saldo promedio</t>
        </is>
      </c>
      <c r="L20" s="149" t="n"/>
      <c r="M20" s="155" t="n"/>
    </row>
    <row r="21" ht="22.5" customHeight="1" s="100">
      <c r="A21" s="141" t="n"/>
      <c r="B21" s="142" t="n"/>
      <c r="C21" s="141" t="n"/>
      <c r="D21" s="146" t="n"/>
      <c r="E21" s="143" t="n"/>
      <c r="F21" s="143" t="n"/>
      <c r="G21" s="143">
        <f>G20+F21-E21</f>
        <v/>
      </c>
      <c r="K21" s="126" t="inlineStr">
        <is>
          <t>Total de comisiones del periodo</t>
        </is>
      </c>
      <c r="L21" s="149" t="n"/>
      <c r="M21" s="155" t="n"/>
    </row>
    <row r="22" ht="22.5" customHeight="1" s="100">
      <c r="A22" s="141" t="n"/>
      <c r="B22" s="142" t="n"/>
      <c r="C22" s="141" t="n"/>
      <c r="D22" s="146" t="n"/>
      <c r="E22" s="143" t="n"/>
      <c r="F22" s="143" t="n"/>
      <c r="G22" s="143">
        <f>G21+F22-E22</f>
        <v/>
      </c>
    </row>
    <row r="23" ht="33.75" customHeight="1" s="100">
      <c r="A23" s="141" t="n"/>
      <c r="B23" s="142" t="n"/>
      <c r="C23" s="141" t="n"/>
      <c r="D23" s="146" t="n"/>
      <c r="E23" s="143" t="n"/>
      <c r="F23" s="143" t="n"/>
      <c r="G23" s="143">
        <f>G22+F23-E23</f>
        <v/>
      </c>
      <c r="K23" s="180" t="inlineStr">
        <is>
          <t>CONTROL: LO LEÍDO CONTRA LA CARÁTULA</t>
        </is>
      </c>
      <c r="L23" s="170" t="n"/>
      <c r="M23" s="170" t="n"/>
    </row>
    <row r="24" ht="22.5" customHeight="1" s="100">
      <c r="A24" s="141" t="n"/>
      <c r="B24" s="142" t="n"/>
      <c r="C24" s="141" t="n"/>
      <c r="D24" s="146" t="n"/>
      <c r="E24" s="143" t="n"/>
      <c r="F24" s="143" t="n"/>
      <c r="G24" s="143">
        <f>G23+F24-E24</f>
        <v/>
      </c>
      <c r="K24" s="126" t="inlineStr">
        <is>
          <t>Abonos leídos</t>
        </is>
      </c>
      <c r="L24" s="149">
        <f>SUM(F8:F114)</f>
        <v/>
      </c>
      <c r="M24" s="155">
        <f>COUNT(F8:F114)</f>
        <v/>
      </c>
    </row>
    <row r="25" ht="14.25" customHeight="1" s="100">
      <c r="A25" s="141" t="n"/>
      <c r="B25" s="142" t="n"/>
      <c r="C25" s="141" t="n"/>
      <c r="D25" s="146" t="n"/>
      <c r="E25" s="143" t="n"/>
      <c r="F25" s="143" t="n"/>
      <c r="G25" s="143">
        <f>G24+F25-E25</f>
        <v/>
      </c>
      <c r="K25" s="126" t="inlineStr">
        <is>
          <t>Cargos leídos</t>
        </is>
      </c>
      <c r="L25" s="149">
        <f>SUM(E8:E114)</f>
        <v/>
      </c>
      <c r="M25" s="155">
        <f>COUNT(E8:E114)</f>
        <v/>
      </c>
    </row>
    <row r="26" ht="33.75" customHeight="1" s="100">
      <c r="A26" s="141" t="n"/>
      <c r="B26" s="142" t="n"/>
      <c r="C26" s="141" t="n"/>
      <c r="D26" s="146" t="n"/>
      <c r="E26" s="143" t="n"/>
      <c r="F26" s="143" t="n"/>
      <c r="G26" s="143">
        <f>G25+F26-E26</f>
        <v/>
      </c>
      <c r="K26" s="126" t="inlineStr">
        <is>
          <t>Saldo final calculado</t>
        </is>
      </c>
      <c r="L26" s="149">
        <f>G114</f>
        <v/>
      </c>
      <c r="M26" s="162" t="n"/>
    </row>
    <row r="27" ht="14.25" customHeight="1" s="100">
      <c r="A27" s="141" t="n"/>
      <c r="B27" s="142" t="n"/>
      <c r="C27" s="141" t="n"/>
      <c r="D27" s="146" t="n"/>
      <c r="E27" s="143" t="n"/>
      <c r="F27" s="143" t="n"/>
      <c r="G27" s="143">
        <f>G26+F27-E27</f>
        <v/>
      </c>
      <c r="K27" s="179" t="inlineStr">
        <is>
          <t>Diferencia contra la carátula</t>
        </is>
      </c>
      <c r="L27" s="127">
        <f>ROUND(L26-L19,2)+ROUND(L24-L17,2)+ROUND(L25-L18,2)</f>
        <v/>
      </c>
      <c r="M27" s="128">
        <f>(M24-M17)+(M25-M18)</f>
        <v/>
      </c>
    </row>
    <row r="28" ht="33.75" customHeight="1" s="100">
      <c r="A28" s="141" t="n"/>
      <c r="B28" s="142" t="n"/>
      <c r="C28" s="141" t="n"/>
      <c r="D28" s="146" t="n"/>
      <c r="E28" s="143" t="n"/>
      <c r="F28" s="143" t="n"/>
      <c r="G28" s="143">
        <f>G27+F28-E28</f>
        <v/>
      </c>
      <c r="K28" s="181">
        <f>IF(AND(L27=0,M27=0),"El PDF quedó leído completo y cuadra al centavo.","Hay diferencia: revisa la lectura del PDF.")</f>
        <v/>
      </c>
    </row>
    <row r="29" ht="22.5" customHeight="1" s="100">
      <c r="A29" s="141" t="n"/>
      <c r="B29" s="142" t="n"/>
      <c r="C29" s="141" t="n"/>
      <c r="D29" s="146" t="n"/>
      <c r="E29" s="143" t="n"/>
      <c r="F29" s="143" t="n"/>
      <c r="G29" s="143">
        <f>G28+F29-E29</f>
        <v/>
      </c>
    </row>
    <row r="30" ht="22.5" customHeight="1" s="100">
      <c r="A30" s="141" t="n"/>
      <c r="B30" s="142" t="n"/>
      <c r="C30" s="141" t="n"/>
      <c r="D30" s="146" t="n"/>
      <c r="E30" s="143" t="n"/>
      <c r="F30" s="143" t="n"/>
      <c r="G30" s="143">
        <f>G29+F30-E30</f>
        <v/>
      </c>
    </row>
    <row r="31" ht="33.75" customHeight="1" s="100">
      <c r="A31" s="141" t="n"/>
      <c r="B31" s="142" t="n"/>
      <c r="C31" s="141" t="n"/>
      <c r="D31" s="146" t="n"/>
      <c r="E31" s="143" t="n"/>
      <c r="F31" s="143" t="n"/>
      <c r="G31" s="143">
        <f>G30+F31-E31</f>
        <v/>
      </c>
    </row>
    <row r="32" ht="14.25" customHeight="1" s="100">
      <c r="A32" s="141" t="n"/>
      <c r="B32" s="142" t="n"/>
      <c r="C32" s="141" t="n"/>
      <c r="D32" s="146" t="n"/>
      <c r="E32" s="143" t="n"/>
      <c r="F32" s="143" t="n"/>
      <c r="G32" s="143">
        <f>G31+F32-E32</f>
        <v/>
      </c>
    </row>
    <row r="33" ht="22.5" customHeight="1" s="100">
      <c r="A33" s="141" t="n"/>
      <c r="B33" s="142" t="n"/>
      <c r="C33" s="141" t="n"/>
      <c r="D33" s="146" t="n"/>
      <c r="E33" s="143" t="n"/>
      <c r="F33" s="143" t="n"/>
      <c r="G33" s="143">
        <f>G32+F33-E33</f>
        <v/>
      </c>
    </row>
    <row r="34" ht="14.25" customHeight="1" s="100">
      <c r="A34" s="141" t="n"/>
      <c r="B34" s="142" t="n"/>
      <c r="C34" s="141" t="n"/>
      <c r="D34" s="146" t="n"/>
      <c r="E34" s="143" t="n"/>
      <c r="F34" s="143" t="n"/>
      <c r="G34" s="143">
        <f>G33+F34-E34</f>
        <v/>
      </c>
    </row>
    <row r="35" ht="22.5" customHeight="1" s="100">
      <c r="A35" s="141" t="n"/>
      <c r="B35" s="142" t="n"/>
      <c r="C35" s="141" t="n"/>
      <c r="D35" s="146" t="n"/>
      <c r="E35" s="143" t="n"/>
      <c r="F35" s="143" t="n"/>
      <c r="G35" s="143">
        <f>G34+F35-E35</f>
        <v/>
      </c>
    </row>
    <row r="36" ht="22.5" customHeight="1" s="100">
      <c r="A36" s="141" t="n"/>
      <c r="B36" s="142" t="n"/>
      <c r="C36" s="141" t="n"/>
      <c r="D36" s="146" t="n"/>
      <c r="E36" s="143" t="n"/>
      <c r="F36" s="143" t="n"/>
      <c r="G36" s="143">
        <f>G35+F36-E36</f>
        <v/>
      </c>
    </row>
    <row r="37" ht="14.25" customHeight="1" s="100">
      <c r="A37" s="141" t="n"/>
      <c r="B37" s="142" t="n"/>
      <c r="C37" s="141" t="n"/>
      <c r="D37" s="146" t="n"/>
      <c r="E37" s="143" t="n"/>
      <c r="F37" s="143" t="n"/>
      <c r="G37" s="143">
        <f>G36+F37-E37</f>
        <v/>
      </c>
    </row>
    <row r="38" ht="22.5" customHeight="1" s="100">
      <c r="A38" s="141" t="n"/>
      <c r="B38" s="142" t="n"/>
      <c r="C38" s="141" t="n"/>
      <c r="D38" s="146" t="n"/>
      <c r="E38" s="143" t="n"/>
      <c r="F38" s="143" t="n"/>
      <c r="G38" s="143">
        <f>G37+F38-E38</f>
        <v/>
      </c>
    </row>
    <row r="39" ht="22.5" customHeight="1" s="100">
      <c r="A39" s="141" t="n"/>
      <c r="B39" s="142" t="n"/>
      <c r="C39" s="141" t="n"/>
      <c r="D39" s="146" t="n"/>
      <c r="E39" s="143" t="n"/>
      <c r="F39" s="143" t="n"/>
      <c r="G39" s="143">
        <f>G38+F39-E39</f>
        <v/>
      </c>
    </row>
    <row r="40" ht="22.5" customHeight="1" s="100">
      <c r="A40" s="141" t="n"/>
      <c r="B40" s="142" t="n"/>
      <c r="C40" s="141" t="n"/>
      <c r="D40" s="146" t="n"/>
      <c r="E40" s="143" t="n"/>
      <c r="F40" s="143" t="n"/>
      <c r="G40" s="143">
        <f>G39+F40-E40</f>
        <v/>
      </c>
    </row>
    <row r="41" ht="33.75" customHeight="1" s="100">
      <c r="A41" s="141" t="n"/>
      <c r="B41" s="142" t="n"/>
      <c r="C41" s="141" t="n"/>
      <c r="D41" s="146" t="n"/>
      <c r="E41" s="143" t="n"/>
      <c r="F41" s="143" t="n"/>
      <c r="G41" s="143">
        <f>G40+F41-E41</f>
        <v/>
      </c>
    </row>
    <row r="42" ht="33.75" customHeight="1" s="100">
      <c r="A42" s="141" t="n"/>
      <c r="B42" s="142" t="n"/>
      <c r="C42" s="141" t="n"/>
      <c r="D42" s="146" t="n"/>
      <c r="E42" s="143" t="n"/>
      <c r="F42" s="143" t="n"/>
      <c r="G42" s="143">
        <f>G41+F42-E42</f>
        <v/>
      </c>
    </row>
    <row r="43" ht="22.5" customHeight="1" s="100">
      <c r="A43" s="141" t="n"/>
      <c r="B43" s="142" t="n"/>
      <c r="C43" s="141" t="n"/>
      <c r="D43" s="146" t="n"/>
      <c r="E43" s="143" t="n"/>
      <c r="F43" s="143" t="n"/>
      <c r="G43" s="143">
        <f>G42+F43-E43</f>
        <v/>
      </c>
    </row>
    <row r="44" ht="33.75" customHeight="1" s="100">
      <c r="A44" s="141" t="n"/>
      <c r="B44" s="142" t="n"/>
      <c r="C44" s="141" t="n"/>
      <c r="D44" s="146" t="n"/>
      <c r="E44" s="143" t="n"/>
      <c r="F44" s="143" t="n"/>
      <c r="G44" s="143">
        <f>G43+F44-E44</f>
        <v/>
      </c>
    </row>
    <row r="45" ht="22.5" customHeight="1" s="100">
      <c r="A45" s="141" t="n"/>
      <c r="B45" s="142" t="n"/>
      <c r="C45" s="141" t="n"/>
      <c r="D45" s="146" t="n"/>
      <c r="E45" s="143" t="n"/>
      <c r="F45" s="143" t="n"/>
      <c r="G45" s="143">
        <f>G44+F45-E45</f>
        <v/>
      </c>
    </row>
    <row r="46" ht="33.75" customHeight="1" s="100">
      <c r="A46" s="141" t="n"/>
      <c r="B46" s="142" t="n"/>
      <c r="C46" s="141" t="n"/>
      <c r="D46" s="146" t="n"/>
      <c r="E46" s="143" t="n"/>
      <c r="F46" s="143" t="n"/>
      <c r="G46" s="143">
        <f>G45+F46-E46</f>
        <v/>
      </c>
    </row>
    <row r="47" ht="22.5" customHeight="1" s="100">
      <c r="A47" s="141" t="n"/>
      <c r="B47" s="142" t="n"/>
      <c r="C47" s="141" t="n"/>
      <c r="D47" s="146" t="n"/>
      <c r="E47" s="143" t="n"/>
      <c r="F47" s="143" t="n"/>
      <c r="G47" s="143">
        <f>G46+F47-E47</f>
        <v/>
      </c>
    </row>
    <row r="48" ht="14.25" customHeight="1" s="100">
      <c r="A48" s="141" t="n"/>
      <c r="B48" s="142" t="n"/>
      <c r="C48" s="141" t="n"/>
      <c r="D48" s="146" t="n"/>
      <c r="E48" s="143" t="n"/>
      <c r="F48" s="143" t="n"/>
      <c r="G48" s="143">
        <f>G47+F48-E48</f>
        <v/>
      </c>
    </row>
    <row r="49" ht="14.25" customHeight="1" s="100">
      <c r="A49" s="141" t="n"/>
      <c r="B49" s="142" t="n"/>
      <c r="C49" s="141" t="n"/>
      <c r="D49" s="146" t="n"/>
      <c r="E49" s="143" t="n"/>
      <c r="F49" s="143" t="n"/>
      <c r="G49" s="143">
        <f>G48+F49-E49</f>
        <v/>
      </c>
    </row>
    <row r="50" ht="14.25" customHeight="1" s="100">
      <c r="A50" s="141" t="n"/>
      <c r="B50" s="142" t="n"/>
      <c r="C50" s="141" t="n"/>
      <c r="D50" s="146" t="n"/>
      <c r="E50" s="143" t="n"/>
      <c r="F50" s="143" t="n"/>
      <c r="G50" s="143">
        <f>G49+F50-E50</f>
        <v/>
      </c>
    </row>
    <row r="51" ht="22.5" customHeight="1" s="100">
      <c r="A51" s="141" t="n"/>
      <c r="B51" s="142" t="n"/>
      <c r="C51" s="141" t="n"/>
      <c r="D51" s="146" t="n"/>
      <c r="E51" s="143" t="n"/>
      <c r="F51" s="143" t="n"/>
      <c r="G51" s="143">
        <f>G50+F51-E51</f>
        <v/>
      </c>
    </row>
    <row r="52" ht="22.5" customHeight="1" s="100">
      <c r="A52" s="141" t="n"/>
      <c r="B52" s="142" t="n"/>
      <c r="C52" s="141" t="n"/>
      <c r="D52" s="146" t="n"/>
      <c r="E52" s="143" t="n"/>
      <c r="F52" s="143" t="n"/>
      <c r="G52" s="143">
        <f>G51+F52-E52</f>
        <v/>
      </c>
    </row>
    <row r="53" ht="33.75" customHeight="1" s="100">
      <c r="A53" s="141" t="n"/>
      <c r="B53" s="142" t="n"/>
      <c r="C53" s="141" t="n"/>
      <c r="D53" s="146" t="n"/>
      <c r="E53" s="143" t="n"/>
      <c r="F53" s="143" t="n"/>
      <c r="G53" s="143">
        <f>G52+F53-E53</f>
        <v/>
      </c>
    </row>
    <row r="54" ht="22.5" customHeight="1" s="100">
      <c r="A54" s="141" t="n"/>
      <c r="B54" s="142" t="n"/>
      <c r="C54" s="141" t="n"/>
      <c r="D54" s="146" t="n"/>
      <c r="E54" s="143" t="n"/>
      <c r="F54" s="143" t="n"/>
      <c r="G54" s="143">
        <f>G53+F54-E54</f>
        <v/>
      </c>
    </row>
    <row r="55" ht="22.5" customHeight="1" s="100">
      <c r="A55" s="141" t="n"/>
      <c r="B55" s="142" t="n"/>
      <c r="C55" s="141" t="n"/>
      <c r="D55" s="146" t="n"/>
      <c r="E55" s="143" t="n"/>
      <c r="F55" s="143" t="n"/>
      <c r="G55" s="143">
        <f>G54+F55-E55</f>
        <v/>
      </c>
    </row>
    <row r="56" ht="33.75" customHeight="1" s="100">
      <c r="A56" s="141" t="n"/>
      <c r="B56" s="142" t="n"/>
      <c r="C56" s="141" t="n"/>
      <c r="D56" s="146" t="n"/>
      <c r="E56" s="143" t="n"/>
      <c r="F56" s="143" t="n"/>
      <c r="G56" s="143">
        <f>G55+F56-E56</f>
        <v/>
      </c>
    </row>
    <row r="57" ht="14.25" customHeight="1" s="100">
      <c r="A57" s="141" t="n"/>
      <c r="B57" s="142" t="n"/>
      <c r="C57" s="141" t="n"/>
      <c r="D57" s="146" t="n"/>
      <c r="E57" s="143" t="n"/>
      <c r="F57" s="143" t="n"/>
      <c r="G57" s="143">
        <f>G56+F57-E57</f>
        <v/>
      </c>
    </row>
    <row r="58" ht="33.75" customHeight="1" s="100">
      <c r="A58" s="141" t="n"/>
      <c r="B58" s="142" t="n"/>
      <c r="C58" s="141" t="n"/>
      <c r="D58" s="146" t="n"/>
      <c r="E58" s="143" t="n"/>
      <c r="F58" s="143" t="n"/>
      <c r="G58" s="143">
        <f>G57+F58-E58</f>
        <v/>
      </c>
    </row>
    <row r="59" ht="33.75" customHeight="1" s="100">
      <c r="A59" s="141" t="n"/>
      <c r="B59" s="142" t="n"/>
      <c r="C59" s="141" t="n"/>
      <c r="D59" s="146" t="n"/>
      <c r="E59" s="143" t="n"/>
      <c r="F59" s="143" t="n"/>
      <c r="G59" s="143">
        <f>G58+F59-E59</f>
        <v/>
      </c>
    </row>
    <row r="60" ht="14.25" customHeight="1" s="100">
      <c r="A60" s="141" t="n"/>
      <c r="B60" s="142" t="n"/>
      <c r="C60" s="141" t="n"/>
      <c r="D60" s="146" t="n"/>
      <c r="E60" s="143" t="n"/>
      <c r="F60" s="143" t="n"/>
      <c r="G60" s="143">
        <f>G59+F60-E60</f>
        <v/>
      </c>
    </row>
    <row r="61" ht="33.75" customHeight="1" s="100">
      <c r="A61" s="141" t="n"/>
      <c r="B61" s="142" t="n"/>
      <c r="C61" s="141" t="n"/>
      <c r="D61" s="146" t="n"/>
      <c r="E61" s="143" t="n"/>
      <c r="F61" s="143" t="n"/>
      <c r="G61" s="143">
        <f>G60+F61-E61</f>
        <v/>
      </c>
    </row>
    <row r="62" ht="22.5" customHeight="1" s="100">
      <c r="A62" s="141" t="n"/>
      <c r="B62" s="142" t="n"/>
      <c r="C62" s="141" t="n"/>
      <c r="D62" s="146" t="n"/>
      <c r="E62" s="143" t="n"/>
      <c r="F62" s="143" t="n"/>
      <c r="G62" s="143">
        <f>G61+F62-E62</f>
        <v/>
      </c>
    </row>
    <row r="63" ht="22.5" customHeight="1" s="100">
      <c r="A63" s="141" t="n"/>
      <c r="B63" s="142" t="n"/>
      <c r="C63" s="141" t="n"/>
      <c r="D63" s="146" t="n"/>
      <c r="E63" s="143" t="n"/>
      <c r="F63" s="143" t="n"/>
      <c r="G63" s="143">
        <f>G62+F63-E63</f>
        <v/>
      </c>
    </row>
    <row r="64" ht="22.5" customHeight="1" s="100">
      <c r="A64" s="141" t="n"/>
      <c r="B64" s="142" t="n"/>
      <c r="C64" s="141" t="n"/>
      <c r="D64" s="146" t="n"/>
      <c r="E64" s="143" t="n"/>
      <c r="F64" s="143" t="n"/>
      <c r="G64" s="143">
        <f>G63+F64-E64</f>
        <v/>
      </c>
    </row>
    <row r="65" ht="22.5" customHeight="1" s="100">
      <c r="A65" s="141" t="n"/>
      <c r="B65" s="142" t="n"/>
      <c r="C65" s="141" t="n"/>
      <c r="D65" s="146" t="n"/>
      <c r="E65" s="143" t="n"/>
      <c r="F65" s="143" t="n"/>
      <c r="G65" s="143">
        <f>G64+F65-E65</f>
        <v/>
      </c>
    </row>
    <row r="66" ht="22.5" customHeight="1" s="100">
      <c r="A66" s="141" t="n"/>
      <c r="B66" s="142" t="n"/>
      <c r="C66" s="141" t="n"/>
      <c r="D66" s="146" t="n"/>
      <c r="E66" s="143" t="n"/>
      <c r="F66" s="143" t="n"/>
      <c r="G66" s="143">
        <f>G65+F66-E66</f>
        <v/>
      </c>
    </row>
    <row r="67" ht="14.25" customHeight="1" s="100">
      <c r="A67" s="141" t="n"/>
      <c r="B67" s="142" t="n"/>
      <c r="C67" s="141" t="n"/>
      <c r="D67" s="146" t="n"/>
      <c r="E67" s="143" t="n"/>
      <c r="F67" s="143" t="n"/>
      <c r="G67" s="143">
        <f>G66+F67-E67</f>
        <v/>
      </c>
    </row>
    <row r="68" ht="33.75" customHeight="1" s="100">
      <c r="A68" s="141" t="n"/>
      <c r="B68" s="142" t="n"/>
      <c r="C68" s="141" t="n"/>
      <c r="D68" s="146" t="n"/>
      <c r="E68" s="143" t="n"/>
      <c r="F68" s="143" t="n"/>
      <c r="G68" s="143">
        <f>G67+F68-E68</f>
        <v/>
      </c>
    </row>
    <row r="69" ht="33.75" customHeight="1" s="100">
      <c r="A69" s="141" t="n"/>
      <c r="B69" s="142" t="n"/>
      <c r="C69" s="141" t="n"/>
      <c r="D69" s="146" t="n"/>
      <c r="E69" s="143" t="n"/>
      <c r="F69" s="143" t="n"/>
      <c r="G69" s="143">
        <f>G68+F69-E69</f>
        <v/>
      </c>
    </row>
    <row r="70" ht="33.75" customHeight="1" s="100">
      <c r="A70" s="141" t="n"/>
      <c r="B70" s="142" t="n"/>
      <c r="C70" s="141" t="n"/>
      <c r="D70" s="146" t="n"/>
      <c r="E70" s="143" t="n"/>
      <c r="F70" s="143" t="n"/>
      <c r="G70" s="143">
        <f>G69+F70-E70</f>
        <v/>
      </c>
    </row>
    <row r="71" ht="14.25" customHeight="1" s="100">
      <c r="A71" s="141" t="n"/>
      <c r="B71" s="142" t="n"/>
      <c r="C71" s="141" t="n"/>
      <c r="D71" s="146" t="n"/>
      <c r="E71" s="143" t="n"/>
      <c r="F71" s="143" t="n"/>
      <c r="G71" s="143">
        <f>G70+F71-E71</f>
        <v/>
      </c>
    </row>
    <row r="72" ht="14.25" customHeight="1" s="100">
      <c r="A72" s="141" t="n"/>
      <c r="B72" s="142" t="n"/>
      <c r="C72" s="141" t="n"/>
      <c r="D72" s="146" t="n"/>
      <c r="E72" s="143" t="n"/>
      <c r="F72" s="143" t="n"/>
      <c r="G72" s="143">
        <f>G71+F72-E72</f>
        <v/>
      </c>
    </row>
    <row r="73" ht="22.5" customHeight="1" s="100">
      <c r="A73" s="141" t="n"/>
      <c r="B73" s="142" t="n"/>
      <c r="C73" s="141" t="n"/>
      <c r="D73" s="146" t="n"/>
      <c r="E73" s="143" t="n"/>
      <c r="F73" s="143" t="n"/>
      <c r="G73" s="143">
        <f>G72+F73-E73</f>
        <v/>
      </c>
    </row>
    <row r="74" ht="22.5" customHeight="1" s="100">
      <c r="A74" s="141" t="n"/>
      <c r="B74" s="142" t="n"/>
      <c r="C74" s="141" t="n"/>
      <c r="D74" s="146" t="n"/>
      <c r="E74" s="143" t="n"/>
      <c r="F74" s="143" t="n"/>
      <c r="G74" s="143">
        <f>G73+F74-E74</f>
        <v/>
      </c>
    </row>
    <row r="75" ht="14.25" customHeight="1" s="100">
      <c r="A75" s="141" t="n"/>
      <c r="B75" s="142" t="n"/>
      <c r="C75" s="141" t="n"/>
      <c r="D75" s="146" t="n"/>
      <c r="E75" s="143" t="n"/>
      <c r="F75" s="143" t="n"/>
      <c r="G75" s="143">
        <f>G74+F75-E75</f>
        <v/>
      </c>
    </row>
    <row r="76" ht="22.5" customHeight="1" s="100">
      <c r="A76" s="141" t="n"/>
      <c r="B76" s="142" t="n"/>
      <c r="C76" s="141" t="n"/>
      <c r="D76" s="146" t="n"/>
      <c r="E76" s="143" t="n"/>
      <c r="F76" s="143" t="n"/>
      <c r="G76" s="143">
        <f>G75+F76-E76</f>
        <v/>
      </c>
    </row>
    <row r="77" ht="22.5" customHeight="1" s="100">
      <c r="A77" s="141" t="n"/>
      <c r="B77" s="142" t="n"/>
      <c r="C77" s="141" t="n"/>
      <c r="D77" s="146" t="n"/>
      <c r="E77" s="143" t="n"/>
      <c r="F77" s="143" t="n"/>
      <c r="G77" s="143">
        <f>G76+F77-E77</f>
        <v/>
      </c>
    </row>
    <row r="78" ht="14.25" customHeight="1" s="100">
      <c r="A78" s="141" t="n"/>
      <c r="B78" s="142" t="n"/>
      <c r="C78" s="141" t="n"/>
      <c r="D78" s="146" t="n"/>
      <c r="E78" s="143" t="n"/>
      <c r="F78" s="143" t="n"/>
      <c r="G78" s="143">
        <f>G77+F78-E78</f>
        <v/>
      </c>
    </row>
    <row r="79" ht="22.5" customHeight="1" s="100">
      <c r="A79" s="141" t="n"/>
      <c r="B79" s="142" t="n"/>
      <c r="C79" s="141" t="n"/>
      <c r="D79" s="146" t="n"/>
      <c r="E79" s="143" t="n"/>
      <c r="F79" s="143" t="n"/>
      <c r="G79" s="143">
        <f>G78+F79-E79</f>
        <v/>
      </c>
    </row>
    <row r="80" ht="22.5" customHeight="1" s="100">
      <c r="A80" s="141" t="n"/>
      <c r="B80" s="142" t="n"/>
      <c r="C80" s="141" t="n"/>
      <c r="D80" s="146" t="n"/>
      <c r="E80" s="143" t="n"/>
      <c r="F80" s="143" t="n"/>
      <c r="G80" s="143">
        <f>G79+F80-E80</f>
        <v/>
      </c>
    </row>
    <row r="81" ht="14.25" customHeight="1" s="100">
      <c r="A81" s="141" t="n"/>
      <c r="B81" s="142" t="n"/>
      <c r="C81" s="141" t="n"/>
      <c r="D81" s="146" t="n"/>
      <c r="E81" s="143" t="n"/>
      <c r="F81" s="143" t="n"/>
      <c r="G81" s="143">
        <f>G80+F81-E81</f>
        <v/>
      </c>
    </row>
    <row r="82" ht="22.5" customHeight="1" s="100">
      <c r="A82" s="141" t="n"/>
      <c r="B82" s="142" t="n"/>
      <c r="C82" s="141" t="n"/>
      <c r="D82" s="146" t="n"/>
      <c r="E82" s="143" t="n"/>
      <c r="F82" s="143" t="n"/>
      <c r="G82" s="143">
        <f>G81+F82-E82</f>
        <v/>
      </c>
    </row>
    <row r="83" ht="22.5" customHeight="1" s="100">
      <c r="A83" s="141" t="n"/>
      <c r="B83" s="142" t="n"/>
      <c r="C83" s="141" t="n"/>
      <c r="D83" s="146" t="n"/>
      <c r="E83" s="143" t="n"/>
      <c r="F83" s="143" t="n"/>
      <c r="G83" s="143">
        <f>G82+F83-E83</f>
        <v/>
      </c>
    </row>
    <row r="84" ht="33.75" customHeight="1" s="100">
      <c r="A84" s="141" t="n"/>
      <c r="B84" s="142" t="n"/>
      <c r="C84" s="141" t="n"/>
      <c r="D84" s="146" t="n"/>
      <c r="E84" s="143" t="n"/>
      <c r="F84" s="143" t="n"/>
      <c r="G84" s="143">
        <f>G83+F84-E84</f>
        <v/>
      </c>
    </row>
    <row r="85" ht="22.5" customHeight="1" s="100">
      <c r="A85" s="141" t="n"/>
      <c r="B85" s="142" t="n"/>
      <c r="C85" s="141" t="n"/>
      <c r="D85" s="146" t="n"/>
      <c r="E85" s="143" t="n"/>
      <c r="F85" s="143" t="n"/>
      <c r="G85" s="143">
        <f>G84+F85-E85</f>
        <v/>
      </c>
    </row>
    <row r="86" ht="22.5" customHeight="1" s="100">
      <c r="A86" s="141" t="n"/>
      <c r="B86" s="142" t="n"/>
      <c r="C86" s="141" t="n"/>
      <c r="D86" s="146" t="n"/>
      <c r="E86" s="143" t="n"/>
      <c r="F86" s="143" t="n"/>
      <c r="G86" s="143">
        <f>G85+F86-E86</f>
        <v/>
      </c>
    </row>
    <row r="87" ht="22.5" customHeight="1" s="100">
      <c r="A87" s="141" t="n"/>
      <c r="B87" s="142" t="n"/>
      <c r="C87" s="141" t="n"/>
      <c r="D87" s="146" t="n"/>
      <c r="E87" s="143" t="n"/>
      <c r="F87" s="143" t="n"/>
      <c r="G87" s="143">
        <f>G86+F87-E87</f>
        <v/>
      </c>
    </row>
    <row r="88" ht="22.5" customHeight="1" s="100">
      <c r="A88" s="141" t="n"/>
      <c r="B88" s="142" t="n"/>
      <c r="C88" s="141" t="n"/>
      <c r="D88" s="146" t="n"/>
      <c r="E88" s="143" t="n"/>
      <c r="F88" s="143" t="n"/>
      <c r="G88" s="143">
        <f>G87+F88-E88</f>
        <v/>
      </c>
    </row>
    <row r="89" ht="22.5" customHeight="1" s="100">
      <c r="A89" s="141" t="n"/>
      <c r="B89" s="142" t="n"/>
      <c r="C89" s="141" t="n"/>
      <c r="D89" s="146" t="n"/>
      <c r="E89" s="143" t="n"/>
      <c r="F89" s="143" t="n"/>
      <c r="G89" s="143">
        <f>G88+F89-E89</f>
        <v/>
      </c>
    </row>
    <row r="90" ht="22.5" customHeight="1" s="100">
      <c r="A90" s="141" t="n"/>
      <c r="B90" s="142" t="n"/>
      <c r="C90" s="141" t="n"/>
      <c r="D90" s="146" t="n"/>
      <c r="E90" s="143" t="n"/>
      <c r="F90" s="143" t="n"/>
      <c r="G90" s="143">
        <f>G89+F90-E90</f>
        <v/>
      </c>
    </row>
    <row r="91" ht="45" customHeight="1" s="100">
      <c r="A91" s="141" t="n"/>
      <c r="B91" s="142" t="n"/>
      <c r="C91" s="141" t="n"/>
      <c r="D91" s="146" t="n"/>
      <c r="E91" s="143" t="n"/>
      <c r="F91" s="143" t="n"/>
      <c r="G91" s="143">
        <f>G90+F91-E91</f>
        <v/>
      </c>
    </row>
    <row r="92" ht="33.75" customHeight="1" s="100">
      <c r="A92" s="141" t="n"/>
      <c r="B92" s="142" t="n"/>
      <c r="C92" s="141" t="n"/>
      <c r="D92" s="146" t="n"/>
      <c r="E92" s="143" t="n"/>
      <c r="F92" s="143" t="n"/>
      <c r="G92" s="143">
        <f>G91+F92-E92</f>
        <v/>
      </c>
    </row>
    <row r="93" ht="22.5" customHeight="1" s="100">
      <c r="A93" s="141" t="n"/>
      <c r="B93" s="142" t="n"/>
      <c r="C93" s="141" t="n"/>
      <c r="D93" s="146" t="n"/>
      <c r="E93" s="143" t="n"/>
      <c r="F93" s="143" t="n"/>
      <c r="G93" s="143">
        <f>G92+F93-E93</f>
        <v/>
      </c>
    </row>
    <row r="94" ht="14.25" customHeight="1" s="100">
      <c r="A94" s="141" t="n"/>
      <c r="B94" s="142" t="n"/>
      <c r="C94" s="141" t="n"/>
      <c r="D94" s="146" t="n"/>
      <c r="E94" s="143" t="n"/>
      <c r="F94" s="143" t="n"/>
      <c r="G94" s="143">
        <f>G93+F94-E94</f>
        <v/>
      </c>
    </row>
    <row r="95" ht="22.5" customHeight="1" s="100">
      <c r="A95" s="141" t="n"/>
      <c r="B95" s="142" t="n"/>
      <c r="C95" s="141" t="n"/>
      <c r="D95" s="146" t="n"/>
      <c r="E95" s="143" t="n"/>
      <c r="F95" s="143" t="n"/>
      <c r="G95" s="143">
        <f>G94+F95-E95</f>
        <v/>
      </c>
    </row>
    <row r="96" ht="22.5" customHeight="1" s="100">
      <c r="A96" s="141" t="n"/>
      <c r="B96" s="142" t="n"/>
      <c r="C96" s="141" t="n"/>
      <c r="D96" s="146" t="n"/>
      <c r="E96" s="143" t="n"/>
      <c r="F96" s="143" t="n"/>
      <c r="G96" s="143">
        <f>G95+F96-E96</f>
        <v/>
      </c>
    </row>
    <row r="97" ht="22.5" customHeight="1" s="100">
      <c r="A97" s="141" t="n"/>
      <c r="B97" s="142" t="n"/>
      <c r="C97" s="141" t="n"/>
      <c r="D97" s="146" t="n"/>
      <c r="E97" s="143" t="n"/>
      <c r="F97" s="143" t="n"/>
      <c r="G97" s="143">
        <f>G96+F97-E97</f>
        <v/>
      </c>
    </row>
    <row r="98" ht="14.25" customHeight="1" s="100">
      <c r="A98" s="141" t="n"/>
      <c r="B98" s="142" t="n"/>
      <c r="C98" s="141" t="n"/>
      <c r="D98" s="146" t="n"/>
      <c r="E98" s="143" t="n"/>
      <c r="F98" s="143" t="n"/>
      <c r="G98" s="143">
        <f>G97+F98-E98</f>
        <v/>
      </c>
    </row>
    <row r="99" ht="22.5" customHeight="1" s="100">
      <c r="A99" s="141" t="n"/>
      <c r="B99" s="142" t="n"/>
      <c r="C99" s="141" t="n"/>
      <c r="D99" s="146" t="n"/>
      <c r="E99" s="143" t="n"/>
      <c r="F99" s="143" t="n"/>
      <c r="G99" s="143">
        <f>G98+F99-E99</f>
        <v/>
      </c>
    </row>
    <row r="100" ht="22.5" customHeight="1" s="100">
      <c r="A100" s="141" t="n"/>
      <c r="B100" s="142" t="n"/>
      <c r="C100" s="141" t="n"/>
      <c r="D100" s="146" t="n"/>
      <c r="E100" s="143" t="n"/>
      <c r="F100" s="143" t="n"/>
      <c r="G100" s="143">
        <f>G99+F100-E100</f>
        <v/>
      </c>
    </row>
    <row r="101" ht="14.25" customHeight="1" s="100">
      <c r="A101" s="141" t="n"/>
      <c r="B101" s="142" t="n"/>
      <c r="C101" s="141" t="n"/>
      <c r="D101" s="146" t="n"/>
      <c r="E101" s="143" t="n"/>
      <c r="F101" s="143" t="n"/>
      <c r="G101" s="143">
        <f>G100+F101-E101</f>
        <v/>
      </c>
    </row>
    <row r="102" ht="22.5" customHeight="1" s="100">
      <c r="A102" s="141" t="n"/>
      <c r="B102" s="142" t="n"/>
      <c r="C102" s="141" t="n"/>
      <c r="D102" s="146" t="n"/>
      <c r="E102" s="143" t="n"/>
      <c r="F102" s="143" t="n"/>
      <c r="G102" s="143">
        <f>G101+F102-E102</f>
        <v/>
      </c>
    </row>
    <row r="103" ht="22.5" customHeight="1" s="100">
      <c r="A103" s="141" t="n"/>
      <c r="B103" s="142" t="n"/>
      <c r="C103" s="141" t="n"/>
      <c r="D103" s="146" t="n"/>
      <c r="E103" s="143" t="n"/>
      <c r="F103" s="143" t="n"/>
      <c r="G103" s="143">
        <f>G102+F103-E103</f>
        <v/>
      </c>
    </row>
    <row r="104" ht="33.75" customHeight="1" s="100">
      <c r="A104" s="141" t="n"/>
      <c r="B104" s="142" t="n"/>
      <c r="C104" s="141" t="n"/>
      <c r="D104" s="146" t="n"/>
      <c r="E104" s="143" t="n"/>
      <c r="F104" s="143" t="n"/>
      <c r="G104" s="143">
        <f>G103+F104-E104</f>
        <v/>
      </c>
    </row>
    <row r="105" ht="14.25" customHeight="1" s="100">
      <c r="A105" s="141" t="n"/>
      <c r="B105" s="142" t="n"/>
      <c r="C105" s="141" t="n"/>
      <c r="D105" s="146" t="n"/>
      <c r="E105" s="143" t="n"/>
      <c r="F105" s="143" t="n"/>
      <c r="G105" s="143">
        <f>G104+F105-E105</f>
        <v/>
      </c>
    </row>
    <row r="106" ht="22.5" customHeight="1" s="100">
      <c r="A106" s="141" t="n"/>
      <c r="B106" s="142" t="n"/>
      <c r="C106" s="141" t="n"/>
      <c r="D106" s="146" t="n"/>
      <c r="E106" s="143" t="n"/>
      <c r="F106" s="143" t="n"/>
      <c r="G106" s="143">
        <f>G105+F106-E106</f>
        <v/>
      </c>
    </row>
    <row r="107" ht="22.5" customHeight="1" s="100">
      <c r="A107" s="141" t="n"/>
      <c r="B107" s="142" t="n"/>
      <c r="C107" s="141" t="n"/>
      <c r="D107" s="146" t="n"/>
      <c r="E107" s="143" t="n"/>
      <c r="F107" s="143" t="n"/>
      <c r="G107" s="143">
        <f>G106+F107-E107</f>
        <v/>
      </c>
    </row>
    <row r="108" ht="14.25" customHeight="1" s="100">
      <c r="A108" s="141" t="n"/>
      <c r="B108" s="142" t="n"/>
      <c r="C108" s="141" t="n"/>
      <c r="D108" s="146" t="n"/>
      <c r="E108" s="143" t="n"/>
      <c r="F108" s="143" t="n"/>
      <c r="G108" s="143">
        <f>G107+F108-E108</f>
        <v/>
      </c>
    </row>
    <row r="109" ht="22.5" customHeight="1" s="100">
      <c r="A109" s="141" t="n"/>
      <c r="B109" s="142" t="n"/>
      <c r="C109" s="141" t="n"/>
      <c r="D109" s="146" t="n"/>
      <c r="E109" s="143" t="n"/>
      <c r="F109" s="143" t="n"/>
      <c r="G109" s="143">
        <f>G108+F109-E109</f>
        <v/>
      </c>
    </row>
    <row r="110" ht="22.5" customHeight="1" s="100">
      <c r="A110" s="141" t="n"/>
      <c r="B110" s="142" t="n"/>
      <c r="C110" s="141" t="n"/>
      <c r="D110" s="146" t="n"/>
      <c r="E110" s="143" t="n"/>
      <c r="F110" s="143" t="n"/>
      <c r="G110" s="143">
        <f>G109+F110-E110</f>
        <v/>
      </c>
    </row>
    <row r="111" ht="22.5" customHeight="1" s="100">
      <c r="A111" s="141" t="n"/>
      <c r="B111" s="142" t="n"/>
      <c r="C111" s="141" t="n"/>
      <c r="D111" s="146" t="n"/>
      <c r="E111" s="143" t="n"/>
      <c r="F111" s="143" t="n"/>
      <c r="G111" s="143">
        <f>G110+F111-E111</f>
        <v/>
      </c>
    </row>
    <row r="112" ht="22.5" customHeight="1" s="100">
      <c r="A112" s="141" t="n"/>
      <c r="B112" s="142" t="n"/>
      <c r="C112" s="141" t="n"/>
      <c r="D112" s="146" t="n"/>
      <c r="E112" s="143" t="n"/>
      <c r="F112" s="143" t="n"/>
      <c r="G112" s="143">
        <f>G111+F112-E112</f>
        <v/>
      </c>
    </row>
    <row r="113" ht="22.5" customHeight="1" s="100">
      <c r="A113" s="141" t="n"/>
      <c r="B113" s="142" t="n"/>
      <c r="C113" s="141" t="n"/>
      <c r="D113" s="146" t="n"/>
      <c r="E113" s="143" t="n"/>
      <c r="F113" s="143" t="n"/>
      <c r="G113" s="143">
        <f>G112+F113-E113</f>
        <v/>
      </c>
    </row>
    <row r="114" ht="22.5" customHeight="1" s="100">
      <c r="A114" s="141" t="n"/>
      <c r="B114" s="142" t="n"/>
      <c r="C114" s="141" t="n"/>
      <c r="D114" s="146" t="n"/>
      <c r="E114" s="143" t="n"/>
      <c r="F114" s="143" t="n"/>
      <c r="G114" s="143">
        <f>G113+F114-E114</f>
        <v/>
      </c>
    </row>
  </sheetData>
  <autoFilter ref="A7:G114"/>
  <mergeCells count="1">
    <mergeCell ref="K28:M29"/>
  </mergeCells>
  <conditionalFormatting sqref="K28">
    <cfRule type="expression" rank="0" priority="2" equalAverage="0" aboveAverage="0" dxfId="21" text="" percent="0" bottom="0">
      <formula>AND($L$27=0,$M$27=0)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24606C"/>
    <outlinePr summaryBelow="1" summaryRight="1"/>
    <pageSetUpPr fitToPage="1"/>
  </sheetPr>
  <dimension ref="A1:J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zeroHeight="0" outlineLevelRow="0"/>
  <cols>
    <col width="9" customWidth="1" style="99" min="1" max="1"/>
    <col width="11" customWidth="1" style="99" min="2" max="2"/>
    <col width="18" customWidth="1" style="99" min="3" max="3"/>
    <col width="60" customWidth="1" style="99" min="4" max="4"/>
    <col width="34" customWidth="1" style="99" min="5" max="5"/>
    <col width="14" customWidth="1" style="99" min="6" max="7"/>
    <col width="15" customWidth="1" style="99" min="8" max="8"/>
    <col width="26" customWidth="1" style="99" min="10" max="10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</row>
    <row r="2" ht="25.5" customHeight="1" s="100">
      <c r="A2" s="101" t="n"/>
      <c r="B2" s="101" t="n"/>
      <c r="C2" s="103" t="inlineStr">
        <is>
          <t>Auxiliar de bancos en Odoo</t>
        </is>
      </c>
      <c r="D2" s="101" t="n"/>
      <c r="E2" s="101" t="n"/>
      <c r="F2" s="101" t="n"/>
      <c r="G2" s="101" t="n"/>
      <c r="H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</row>
    <row r="4"/>
    <row r="5" ht="14.25" customHeight="1" s="100">
      <c r="A5" s="105" t="inlineStr">
        <is>
          <t>Exportado de Odoo, diario &lt;Diario&gt;. Se usa tal como llegó; no se edita.</t>
        </is>
      </c>
    </row>
    <row r="6"/>
    <row r="7" ht="39.75" customHeight="1" s="100">
      <c r="A7" s="139" t="inlineStr">
        <is>
          <t>Renglón</t>
        </is>
      </c>
      <c r="B7" s="139" t="inlineStr">
        <is>
          <t>Fecha</t>
        </is>
      </c>
      <c r="C7" s="139" t="inlineStr">
        <is>
          <t>Asiento</t>
        </is>
      </c>
      <c r="D7" s="139" t="inlineStr">
        <is>
          <t>Concepto en Odoo</t>
        </is>
      </c>
      <c r="E7" s="139" t="inlineStr">
        <is>
          <t>Contacto</t>
        </is>
      </c>
      <c r="F7" s="139" t="inlineStr">
        <is>
          <t>Cargos</t>
        </is>
      </c>
      <c r="G7" s="139" t="inlineStr">
        <is>
          <t>Abonos</t>
        </is>
      </c>
      <c r="H7" s="139" t="inlineStr">
        <is>
          <t>Saldo</t>
        </is>
      </c>
      <c r="J7" s="182" t="inlineStr">
        <is>
          <t>Saldo final según Odoo</t>
        </is>
      </c>
    </row>
    <row r="8" ht="22.5" customHeight="1" s="100">
      <c r="A8" s="141" t="n"/>
      <c r="B8" s="142" t="n"/>
      <c r="C8" s="141" t="n"/>
      <c r="D8" s="146" t="n"/>
      <c r="E8" s="141" t="n"/>
      <c r="F8" s="143" t="n"/>
      <c r="G8" s="143" t="n"/>
      <c r="H8" s="143">
        <f>$J$12+G8-F8</f>
        <v/>
      </c>
      <c r="J8" s="183">
        <f>H114</f>
        <v/>
      </c>
    </row>
    <row r="9" ht="22.5" customHeight="1" s="100">
      <c r="A9" s="141" t="n"/>
      <c r="B9" s="142" t="n"/>
      <c r="C9" s="141" t="n"/>
      <c r="D9" s="146" t="n"/>
      <c r="E9" s="141" t="n"/>
      <c r="F9" s="143" t="n"/>
      <c r="G9" s="143" t="n"/>
      <c r="H9" s="143">
        <f>H8+G9-F9</f>
        <v/>
      </c>
      <c r="J9" s="182" t="inlineStr">
        <is>
          <t>Diferencia contra el banco</t>
        </is>
      </c>
    </row>
    <row r="10" ht="22.5" customHeight="1" s="100">
      <c r="A10" s="141" t="n"/>
      <c r="B10" s="142" t="n"/>
      <c r="C10" s="141" t="n"/>
      <c r="D10" s="146" t="n"/>
      <c r="E10" s="141" t="n"/>
      <c r="F10" s="143" t="n"/>
      <c r="G10" s="143" t="n"/>
      <c r="H10" s="143">
        <f>H9+G10-F10</f>
        <v/>
      </c>
      <c r="J10" s="183">
        <f>ROUND(J8-'Estado de cuenta'!L19,2)</f>
        <v/>
      </c>
    </row>
    <row r="11" ht="22.5" customHeight="1" s="100">
      <c r="A11" s="141" t="n"/>
      <c r="B11" s="142" t="n"/>
      <c r="C11" s="141" t="n"/>
      <c r="D11" s="146" t="n"/>
      <c r="E11" s="141" t="n"/>
      <c r="F11" s="143" t="n"/>
      <c r="G11" s="143" t="n"/>
      <c r="H11" s="143">
        <f>H10+G11-F11</f>
        <v/>
      </c>
      <c r="J11" s="182" t="inlineStr">
        <is>
          <t>Saldo inicial en Odoo</t>
        </is>
      </c>
    </row>
    <row r="12" ht="22.5" customHeight="1" s="100">
      <c r="A12" s="141" t="n"/>
      <c r="B12" s="142" t="n"/>
      <c r="C12" s="141" t="n"/>
      <c r="D12" s="146" t="n"/>
      <c r="E12" s="141" t="n"/>
      <c r="F12" s="143" t="n"/>
      <c r="G12" s="143" t="n"/>
      <c r="H12" s="143">
        <f>H11+G12-F12</f>
        <v/>
      </c>
      <c r="J12" s="184" t="n"/>
    </row>
    <row r="13" ht="22.5" customHeight="1" s="100">
      <c r="A13" s="141" t="n"/>
      <c r="B13" s="142" t="n"/>
      <c r="C13" s="141" t="n"/>
      <c r="D13" s="146" t="n"/>
      <c r="E13" s="141" t="n"/>
      <c r="F13" s="143" t="n"/>
      <c r="G13" s="143" t="n"/>
      <c r="H13" s="143">
        <f>H12+G13-F13</f>
        <v/>
      </c>
      <c r="J13" s="150" t="inlineStr">
        <is>
          <t>Tomado del auxiliar exportado de Odoo.</t>
        </is>
      </c>
    </row>
    <row r="14" ht="33.75" customHeight="1" s="100">
      <c r="A14" s="141" t="n"/>
      <c r="B14" s="142" t="n"/>
      <c r="C14" s="141" t="n"/>
      <c r="D14" s="146" t="n"/>
      <c r="E14" s="146" t="n"/>
      <c r="F14" s="143" t="n"/>
      <c r="G14" s="143" t="n"/>
      <c r="H14" s="143">
        <f>H13+G14-F14</f>
        <v/>
      </c>
    </row>
    <row r="15" ht="22.5" customHeight="1" s="100">
      <c r="A15" s="141" t="n"/>
      <c r="B15" s="142" t="n"/>
      <c r="C15" s="141" t="n"/>
      <c r="D15" s="146" t="n"/>
      <c r="E15" s="141" t="n"/>
      <c r="F15" s="143" t="n"/>
      <c r="G15" s="143" t="n"/>
      <c r="H15" s="143">
        <f>H14+G15-F15</f>
        <v/>
      </c>
    </row>
    <row r="16" ht="14.25" customHeight="1" s="100">
      <c r="A16" s="141" t="n"/>
      <c r="B16" s="142" t="n"/>
      <c r="C16" s="141" t="n"/>
      <c r="D16" s="146" t="n"/>
      <c r="E16" s="141" t="n"/>
      <c r="F16" s="143" t="n"/>
      <c r="G16" s="143" t="n"/>
      <c r="H16" s="143">
        <f>H15+G16-F16</f>
        <v/>
      </c>
    </row>
    <row r="17" ht="22.5" customHeight="1" s="100">
      <c r="A17" s="141" t="n"/>
      <c r="B17" s="142" t="n"/>
      <c r="C17" s="141" t="n"/>
      <c r="D17" s="146" t="n"/>
      <c r="E17" s="141" t="n"/>
      <c r="F17" s="143" t="n"/>
      <c r="G17" s="143" t="n"/>
      <c r="H17" s="143">
        <f>H16+G17-F17</f>
        <v/>
      </c>
    </row>
    <row r="18" ht="22.5" customHeight="1" s="100">
      <c r="A18" s="141" t="n"/>
      <c r="B18" s="142" t="n"/>
      <c r="C18" s="141" t="n"/>
      <c r="D18" s="146" t="n"/>
      <c r="E18" s="141" t="n"/>
      <c r="F18" s="143" t="n"/>
      <c r="G18" s="143" t="n"/>
      <c r="H18" s="143">
        <f>H17+G18-F18</f>
        <v/>
      </c>
    </row>
    <row r="19" ht="22.5" customHeight="1" s="100">
      <c r="A19" s="141" t="n"/>
      <c r="B19" s="142" t="n"/>
      <c r="C19" s="141" t="n"/>
      <c r="D19" s="146" t="n"/>
      <c r="E19" s="141" t="n"/>
      <c r="F19" s="143" t="n"/>
      <c r="G19" s="143" t="n"/>
      <c r="H19" s="143">
        <f>H18+G19-F19</f>
        <v/>
      </c>
    </row>
    <row r="20" ht="22.5" customHeight="1" s="100">
      <c r="A20" s="141" t="n"/>
      <c r="B20" s="142" t="n"/>
      <c r="C20" s="141" t="n"/>
      <c r="D20" s="146" t="n"/>
      <c r="E20" s="141" t="n"/>
      <c r="F20" s="143" t="n"/>
      <c r="G20" s="143" t="n"/>
      <c r="H20" s="143">
        <f>H19+G20-F20</f>
        <v/>
      </c>
    </row>
    <row r="21" ht="22.5" customHeight="1" s="100">
      <c r="A21" s="141" t="n"/>
      <c r="B21" s="142" t="n"/>
      <c r="C21" s="141" t="n"/>
      <c r="D21" s="146" t="n"/>
      <c r="E21" s="141" t="n"/>
      <c r="F21" s="143" t="n"/>
      <c r="G21" s="143" t="n"/>
      <c r="H21" s="143">
        <f>H20+G21-F21</f>
        <v/>
      </c>
    </row>
    <row r="22" ht="22.5" customHeight="1" s="100">
      <c r="A22" s="141" t="n"/>
      <c r="B22" s="142" t="n"/>
      <c r="C22" s="141" t="n"/>
      <c r="D22" s="146" t="n"/>
      <c r="E22" s="141" t="n"/>
      <c r="F22" s="143" t="n"/>
      <c r="G22" s="143" t="n"/>
      <c r="H22" s="143">
        <f>H21+G22-F22</f>
        <v/>
      </c>
    </row>
    <row r="23" ht="22.5" customHeight="1" s="100">
      <c r="A23" s="141" t="n"/>
      <c r="B23" s="142" t="n"/>
      <c r="C23" s="141" t="n"/>
      <c r="D23" s="146" t="n"/>
      <c r="E23" s="141" t="n"/>
      <c r="F23" s="143" t="n"/>
      <c r="G23" s="143" t="n"/>
      <c r="H23" s="143">
        <f>H22+G23-F23</f>
        <v/>
      </c>
    </row>
    <row r="24" ht="22.5" customHeight="1" s="100">
      <c r="A24" s="141" t="n"/>
      <c r="B24" s="142" t="n"/>
      <c r="C24" s="141" t="n"/>
      <c r="D24" s="146" t="n"/>
      <c r="E24" s="141" t="n"/>
      <c r="F24" s="143" t="n"/>
      <c r="G24" s="143" t="n"/>
      <c r="H24" s="143">
        <f>H23+G24-F24</f>
        <v/>
      </c>
    </row>
    <row r="25" ht="22.5" customHeight="1" s="100">
      <c r="A25" s="141" t="n"/>
      <c r="B25" s="142" t="n"/>
      <c r="C25" s="141" t="n"/>
      <c r="D25" s="146" t="n"/>
      <c r="E25" s="141" t="n"/>
      <c r="F25" s="143" t="n"/>
      <c r="G25" s="143" t="n"/>
      <c r="H25" s="143">
        <f>H24+G25-F25</f>
        <v/>
      </c>
    </row>
    <row r="26" ht="22.5" customHeight="1" s="100">
      <c r="A26" s="141" t="n"/>
      <c r="B26" s="142" t="n"/>
      <c r="C26" s="141" t="n"/>
      <c r="D26" s="146" t="n"/>
      <c r="E26" s="141" t="n"/>
      <c r="F26" s="143" t="n"/>
      <c r="G26" s="143" t="n"/>
      <c r="H26" s="143">
        <f>H25+G26-F26</f>
        <v/>
      </c>
    </row>
    <row r="27" ht="22.5" customHeight="1" s="100">
      <c r="A27" s="141" t="n"/>
      <c r="B27" s="142" t="n"/>
      <c r="C27" s="141" t="n"/>
      <c r="D27" s="146" t="n"/>
      <c r="E27" s="141" t="n"/>
      <c r="F27" s="143" t="n"/>
      <c r="G27" s="143" t="n"/>
      <c r="H27" s="143">
        <f>H26+G27-F27</f>
        <v/>
      </c>
    </row>
    <row r="28" ht="22.5" customHeight="1" s="100">
      <c r="A28" s="141" t="n"/>
      <c r="B28" s="142" t="n"/>
      <c r="C28" s="141" t="n"/>
      <c r="D28" s="146" t="n"/>
      <c r="E28" s="141" t="n"/>
      <c r="F28" s="143" t="n"/>
      <c r="G28" s="143" t="n"/>
      <c r="H28" s="143">
        <f>H27+G28-F28</f>
        <v/>
      </c>
    </row>
    <row r="29" ht="22.5" customHeight="1" s="100">
      <c r="A29" s="141" t="n"/>
      <c r="B29" s="142" t="n"/>
      <c r="C29" s="141" t="n"/>
      <c r="D29" s="146" t="n"/>
      <c r="E29" s="141" t="n"/>
      <c r="F29" s="143" t="n"/>
      <c r="G29" s="143" t="n"/>
      <c r="H29" s="143">
        <f>H28+G29-F29</f>
        <v/>
      </c>
    </row>
    <row r="30" ht="22.5" customHeight="1" s="100">
      <c r="A30" s="141" t="n"/>
      <c r="B30" s="142" t="n"/>
      <c r="C30" s="141" t="n"/>
      <c r="D30" s="146" t="n"/>
      <c r="E30" s="141" t="n"/>
      <c r="F30" s="143" t="n"/>
      <c r="G30" s="143" t="n"/>
      <c r="H30" s="143">
        <f>H29+G30-F30</f>
        <v/>
      </c>
    </row>
    <row r="31" ht="22.5" customHeight="1" s="100">
      <c r="A31" s="141" t="n"/>
      <c r="B31" s="142" t="n"/>
      <c r="C31" s="141" t="n"/>
      <c r="D31" s="146" t="n"/>
      <c r="E31" s="141" t="n"/>
      <c r="F31" s="143" t="n"/>
      <c r="G31" s="143" t="n"/>
      <c r="H31" s="143">
        <f>H30+G31-F31</f>
        <v/>
      </c>
    </row>
    <row r="32" ht="22.5" customHeight="1" s="100">
      <c r="A32" s="141" t="n"/>
      <c r="B32" s="142" t="n"/>
      <c r="C32" s="141" t="n"/>
      <c r="D32" s="146" t="n"/>
      <c r="E32" s="146" t="n"/>
      <c r="F32" s="143" t="n"/>
      <c r="G32" s="143" t="n"/>
      <c r="H32" s="143">
        <f>H31+G32-F32</f>
        <v/>
      </c>
    </row>
    <row r="33" ht="22.5" customHeight="1" s="100">
      <c r="A33" s="141" t="n"/>
      <c r="B33" s="142" t="n"/>
      <c r="C33" s="141" t="n"/>
      <c r="D33" s="146" t="n"/>
      <c r="E33" s="141" t="n"/>
      <c r="F33" s="143" t="n"/>
      <c r="G33" s="143" t="n"/>
      <c r="H33" s="143">
        <f>H32+G33-F33</f>
        <v/>
      </c>
    </row>
    <row r="34" ht="22.5" customHeight="1" s="100">
      <c r="A34" s="141" t="n"/>
      <c r="B34" s="142" t="n"/>
      <c r="C34" s="141" t="n"/>
      <c r="D34" s="146" t="n"/>
      <c r="E34" s="141" t="n"/>
      <c r="F34" s="143" t="n"/>
      <c r="G34" s="143" t="n"/>
      <c r="H34" s="143">
        <f>H33+G34-F34</f>
        <v/>
      </c>
    </row>
    <row r="35" ht="22.5" customHeight="1" s="100">
      <c r="A35" s="141" t="n"/>
      <c r="B35" s="142" t="n"/>
      <c r="C35" s="141" t="n"/>
      <c r="D35" s="146" t="n"/>
      <c r="E35" s="141" t="n"/>
      <c r="F35" s="143" t="n"/>
      <c r="G35" s="143" t="n"/>
      <c r="H35" s="143">
        <f>H34+G35-F35</f>
        <v/>
      </c>
    </row>
    <row r="36" ht="22.5" customHeight="1" s="100">
      <c r="A36" s="141" t="n"/>
      <c r="B36" s="142" t="n"/>
      <c r="C36" s="141" t="n"/>
      <c r="D36" s="146" t="n"/>
      <c r="E36" s="141" t="n"/>
      <c r="F36" s="143" t="n"/>
      <c r="G36" s="143" t="n"/>
      <c r="H36" s="143">
        <f>H35+G36-F36</f>
        <v/>
      </c>
    </row>
    <row r="37" ht="22.5" customHeight="1" s="100">
      <c r="A37" s="141" t="n"/>
      <c r="B37" s="142" t="n"/>
      <c r="C37" s="141" t="n"/>
      <c r="D37" s="146" t="n"/>
      <c r="E37" s="141" t="n"/>
      <c r="F37" s="143" t="n"/>
      <c r="G37" s="143" t="n"/>
      <c r="H37" s="143">
        <f>H36+G37-F37</f>
        <v/>
      </c>
    </row>
    <row r="38" ht="22.5" customHeight="1" s="100">
      <c r="A38" s="141" t="n"/>
      <c r="B38" s="142" t="n"/>
      <c r="C38" s="141" t="n"/>
      <c r="D38" s="146" t="n"/>
      <c r="E38" s="141" t="n"/>
      <c r="F38" s="143" t="n"/>
      <c r="G38" s="143" t="n"/>
      <c r="H38" s="143">
        <f>H37+G38-F38</f>
        <v/>
      </c>
    </row>
    <row r="39" ht="22.5" customHeight="1" s="100">
      <c r="A39" s="141" t="n"/>
      <c r="B39" s="142" t="n"/>
      <c r="C39" s="141" t="n"/>
      <c r="D39" s="146" t="n"/>
      <c r="E39" s="141" t="n"/>
      <c r="F39" s="143" t="n"/>
      <c r="G39" s="143" t="n"/>
      <c r="H39" s="143">
        <f>H38+G39-F39</f>
        <v/>
      </c>
    </row>
    <row r="40" ht="22.5" customHeight="1" s="100">
      <c r="A40" s="141" t="n"/>
      <c r="B40" s="142" t="n"/>
      <c r="C40" s="141" t="n"/>
      <c r="D40" s="146" t="n"/>
      <c r="E40" s="141" t="n"/>
      <c r="F40" s="143" t="n"/>
      <c r="G40" s="143" t="n"/>
      <c r="H40" s="143">
        <f>H39+G40-F40</f>
        <v/>
      </c>
    </row>
    <row r="41" ht="22.5" customHeight="1" s="100">
      <c r="A41" s="141" t="n"/>
      <c r="B41" s="142" t="n"/>
      <c r="C41" s="141" t="n"/>
      <c r="D41" s="146" t="n"/>
      <c r="E41" s="141" t="n"/>
      <c r="F41" s="143" t="n"/>
      <c r="G41" s="143" t="n"/>
      <c r="H41" s="143">
        <f>H40+G41-F41</f>
        <v/>
      </c>
    </row>
    <row r="42" ht="22.5" customHeight="1" s="100">
      <c r="A42" s="141" t="n"/>
      <c r="B42" s="142" t="n"/>
      <c r="C42" s="141" t="n"/>
      <c r="D42" s="146" t="n"/>
      <c r="E42" s="141" t="n"/>
      <c r="F42" s="143" t="n"/>
      <c r="G42" s="143" t="n"/>
      <c r="H42" s="143">
        <f>H41+G42-F42</f>
        <v/>
      </c>
    </row>
    <row r="43" ht="22.5" customHeight="1" s="100">
      <c r="A43" s="141" t="n"/>
      <c r="B43" s="142" t="n"/>
      <c r="C43" s="141" t="n"/>
      <c r="D43" s="146" t="n"/>
      <c r="E43" s="141" t="n"/>
      <c r="F43" s="143" t="n"/>
      <c r="G43" s="143" t="n"/>
      <c r="H43" s="143">
        <f>H42+G43-F43</f>
        <v/>
      </c>
    </row>
    <row r="44" ht="22.5" customHeight="1" s="100">
      <c r="A44" s="141" t="n"/>
      <c r="B44" s="142" t="n"/>
      <c r="C44" s="141" t="n"/>
      <c r="D44" s="146" t="n"/>
      <c r="E44" s="141" t="n"/>
      <c r="F44" s="143" t="n"/>
      <c r="G44" s="143" t="n"/>
      <c r="H44" s="143">
        <f>H43+G44-F44</f>
        <v/>
      </c>
    </row>
    <row r="45" ht="22.5" customHeight="1" s="100">
      <c r="A45" s="141" t="n"/>
      <c r="B45" s="142" t="n"/>
      <c r="C45" s="141" t="n"/>
      <c r="D45" s="146" t="n"/>
      <c r="E45" s="141" t="n"/>
      <c r="F45" s="143" t="n"/>
      <c r="G45" s="143" t="n"/>
      <c r="H45" s="143">
        <f>H44+G45-F45</f>
        <v/>
      </c>
    </row>
    <row r="46" ht="22.5" customHeight="1" s="100">
      <c r="A46" s="141" t="n"/>
      <c r="B46" s="142" t="n"/>
      <c r="C46" s="141" t="n"/>
      <c r="D46" s="146" t="n"/>
      <c r="E46" s="141" t="n"/>
      <c r="F46" s="143" t="n"/>
      <c r="G46" s="143" t="n"/>
      <c r="H46" s="143">
        <f>H45+G46-F46</f>
        <v/>
      </c>
    </row>
    <row r="47" ht="22.5" customHeight="1" s="100">
      <c r="A47" s="141" t="n"/>
      <c r="B47" s="142" t="n"/>
      <c r="C47" s="141" t="n"/>
      <c r="D47" s="146" t="n"/>
      <c r="E47" s="141" t="n"/>
      <c r="F47" s="143" t="n"/>
      <c r="G47" s="143" t="n"/>
      <c r="H47" s="143">
        <f>H46+G47-F47</f>
        <v/>
      </c>
    </row>
    <row r="48" ht="22.5" customHeight="1" s="100">
      <c r="A48" s="141" t="n"/>
      <c r="B48" s="142" t="n"/>
      <c r="C48" s="141" t="n"/>
      <c r="D48" s="146" t="n"/>
      <c r="E48" s="141" t="n"/>
      <c r="F48" s="143" t="n"/>
      <c r="G48" s="143" t="n"/>
      <c r="H48" s="143">
        <f>H47+G48-F48</f>
        <v/>
      </c>
    </row>
    <row r="49" ht="22.5" customHeight="1" s="100">
      <c r="A49" s="141" t="n"/>
      <c r="B49" s="142" t="n"/>
      <c r="C49" s="141" t="n"/>
      <c r="D49" s="146" t="n"/>
      <c r="E49" s="141" t="n"/>
      <c r="F49" s="143" t="n"/>
      <c r="G49" s="143" t="n"/>
      <c r="H49" s="143">
        <f>H48+G49-F49</f>
        <v/>
      </c>
    </row>
    <row r="50" ht="22.5" customHeight="1" s="100">
      <c r="A50" s="141" t="n"/>
      <c r="B50" s="142" t="n"/>
      <c r="C50" s="141" t="n"/>
      <c r="D50" s="146" t="n"/>
      <c r="E50" s="141" t="n"/>
      <c r="F50" s="143" t="n"/>
      <c r="G50" s="143" t="n"/>
      <c r="H50" s="143">
        <f>H49+G50-F50</f>
        <v/>
      </c>
    </row>
    <row r="51" ht="22.5" customHeight="1" s="100">
      <c r="A51" s="141" t="n"/>
      <c r="B51" s="142" t="n"/>
      <c r="C51" s="141" t="n"/>
      <c r="D51" s="146" t="n"/>
      <c r="E51" s="141" t="n"/>
      <c r="F51" s="143" t="n"/>
      <c r="G51" s="143" t="n"/>
      <c r="H51" s="143">
        <f>H50+G51-F51</f>
        <v/>
      </c>
    </row>
    <row r="52" ht="22.5" customHeight="1" s="100">
      <c r="A52" s="141" t="n"/>
      <c r="B52" s="142" t="n"/>
      <c r="C52" s="141" t="n"/>
      <c r="D52" s="146" t="n"/>
      <c r="E52" s="141" t="n"/>
      <c r="F52" s="143" t="n"/>
      <c r="G52" s="143" t="n"/>
      <c r="H52" s="143">
        <f>H51+G52-F52</f>
        <v/>
      </c>
    </row>
    <row r="53" ht="22.5" customHeight="1" s="100">
      <c r="A53" s="141" t="n"/>
      <c r="B53" s="142" t="n"/>
      <c r="C53" s="141" t="n"/>
      <c r="D53" s="146" t="n"/>
      <c r="E53" s="141" t="n"/>
      <c r="F53" s="143" t="n"/>
      <c r="G53" s="143" t="n"/>
      <c r="H53" s="143">
        <f>H52+G53-F53</f>
        <v/>
      </c>
    </row>
    <row r="54" ht="22.5" customHeight="1" s="100">
      <c r="A54" s="141" t="n"/>
      <c r="B54" s="142" t="n"/>
      <c r="C54" s="141" t="n"/>
      <c r="D54" s="146" t="n"/>
      <c r="E54" s="141" t="n"/>
      <c r="F54" s="143" t="n"/>
      <c r="G54" s="143" t="n"/>
      <c r="H54" s="143">
        <f>H53+G54-F54</f>
        <v/>
      </c>
    </row>
    <row r="55" ht="22.5" customHeight="1" s="100">
      <c r="A55" s="141" t="n"/>
      <c r="B55" s="142" t="n"/>
      <c r="C55" s="141" t="n"/>
      <c r="D55" s="146" t="n"/>
      <c r="E55" s="141" t="n"/>
      <c r="F55" s="143" t="n"/>
      <c r="G55" s="143" t="n"/>
      <c r="H55" s="143">
        <f>H54+G55-F55</f>
        <v/>
      </c>
    </row>
    <row r="56" ht="22.5" customHeight="1" s="100">
      <c r="A56" s="141" t="n"/>
      <c r="B56" s="142" t="n"/>
      <c r="C56" s="141" t="n"/>
      <c r="D56" s="146" t="n"/>
      <c r="E56" s="141" t="n"/>
      <c r="F56" s="143" t="n"/>
      <c r="G56" s="143" t="n"/>
      <c r="H56" s="143">
        <f>H55+G56-F56</f>
        <v/>
      </c>
    </row>
    <row r="57" ht="22.5" customHeight="1" s="100">
      <c r="A57" s="141" t="n"/>
      <c r="B57" s="142" t="n"/>
      <c r="C57" s="141" t="n"/>
      <c r="D57" s="146" t="n"/>
      <c r="E57" s="141" t="n"/>
      <c r="F57" s="143" t="n"/>
      <c r="G57" s="143" t="n"/>
      <c r="H57" s="143">
        <f>H56+G57-F57</f>
        <v/>
      </c>
    </row>
    <row r="58" ht="22.5" customHeight="1" s="100">
      <c r="A58" s="141" t="n"/>
      <c r="B58" s="142" t="n"/>
      <c r="C58" s="141" t="n"/>
      <c r="D58" s="146" t="n"/>
      <c r="E58" s="141" t="n"/>
      <c r="F58" s="143" t="n"/>
      <c r="G58" s="143" t="n"/>
      <c r="H58" s="143">
        <f>H57+G58-F58</f>
        <v/>
      </c>
    </row>
    <row r="59" ht="22.5" customHeight="1" s="100">
      <c r="A59" s="141" t="n"/>
      <c r="B59" s="142" t="n"/>
      <c r="C59" s="141" t="n"/>
      <c r="D59" s="146" t="n"/>
      <c r="E59" s="141" t="n"/>
      <c r="F59" s="143" t="n"/>
      <c r="G59" s="143" t="n"/>
      <c r="H59" s="143">
        <f>H58+G59-F59</f>
        <v/>
      </c>
    </row>
    <row r="60" ht="14.25" customHeight="1" s="100">
      <c r="A60" s="141" t="n"/>
      <c r="B60" s="142" t="n"/>
      <c r="C60" s="141" t="n"/>
      <c r="D60" s="146" t="n"/>
      <c r="E60" s="141" t="n"/>
      <c r="F60" s="143" t="n"/>
      <c r="G60" s="143" t="n"/>
      <c r="H60" s="143">
        <f>H59+G60-F60</f>
        <v/>
      </c>
    </row>
    <row r="61" ht="22.5" customHeight="1" s="100">
      <c r="A61" s="141" t="n"/>
      <c r="B61" s="142" t="n"/>
      <c r="C61" s="141" t="n"/>
      <c r="D61" s="146" t="n"/>
      <c r="E61" s="141" t="n"/>
      <c r="F61" s="143" t="n"/>
      <c r="G61" s="143" t="n"/>
      <c r="H61" s="143">
        <f>H60+G61-F61</f>
        <v/>
      </c>
    </row>
    <row r="62" ht="22.5" customHeight="1" s="100">
      <c r="A62" s="141" t="n"/>
      <c r="B62" s="142" t="n"/>
      <c r="C62" s="141" t="n"/>
      <c r="D62" s="146" t="n"/>
      <c r="E62" s="141" t="n"/>
      <c r="F62" s="143" t="n"/>
      <c r="G62" s="143" t="n"/>
      <c r="H62" s="143">
        <f>H61+G62-F62</f>
        <v/>
      </c>
    </row>
    <row r="63" ht="22.5" customHeight="1" s="100">
      <c r="A63" s="141" t="n"/>
      <c r="B63" s="142" t="n"/>
      <c r="C63" s="141" t="n"/>
      <c r="D63" s="146" t="n"/>
      <c r="E63" s="141" t="n"/>
      <c r="F63" s="143" t="n"/>
      <c r="G63" s="143" t="n"/>
      <c r="H63" s="143">
        <f>H62+G63-F63</f>
        <v/>
      </c>
    </row>
    <row r="64" ht="22.5" customHeight="1" s="100">
      <c r="A64" s="141" t="n"/>
      <c r="B64" s="142" t="n"/>
      <c r="C64" s="141" t="n"/>
      <c r="D64" s="146" t="n"/>
      <c r="E64" s="141" t="n"/>
      <c r="F64" s="143" t="n"/>
      <c r="G64" s="143" t="n"/>
      <c r="H64" s="143">
        <f>H63+G64-F64</f>
        <v/>
      </c>
    </row>
    <row r="65" ht="22.5" customHeight="1" s="100">
      <c r="A65" s="141" t="n"/>
      <c r="B65" s="142" t="n"/>
      <c r="C65" s="141" t="n"/>
      <c r="D65" s="146" t="n"/>
      <c r="E65" s="141" t="n"/>
      <c r="F65" s="143" t="n"/>
      <c r="G65" s="143" t="n"/>
      <c r="H65" s="143">
        <f>H64+G65-F65</f>
        <v/>
      </c>
    </row>
    <row r="66" ht="22.5" customHeight="1" s="100">
      <c r="A66" s="141" t="n"/>
      <c r="B66" s="142" t="n"/>
      <c r="C66" s="141" t="n"/>
      <c r="D66" s="146" t="n"/>
      <c r="E66" s="141" t="n"/>
      <c r="F66" s="143" t="n"/>
      <c r="G66" s="143" t="n"/>
      <c r="H66" s="143">
        <f>H65+G66-F66</f>
        <v/>
      </c>
    </row>
    <row r="67" ht="22.5" customHeight="1" s="100">
      <c r="A67" s="141" t="n"/>
      <c r="B67" s="142" t="n"/>
      <c r="C67" s="141" t="n"/>
      <c r="D67" s="146" t="n"/>
      <c r="E67" s="141" t="n"/>
      <c r="F67" s="143" t="n"/>
      <c r="G67" s="143" t="n"/>
      <c r="H67" s="143">
        <f>H66+G67-F67</f>
        <v/>
      </c>
    </row>
    <row r="68" ht="33.75" customHeight="1" s="100">
      <c r="A68" s="141" t="n"/>
      <c r="B68" s="142" t="n"/>
      <c r="C68" s="141" t="n"/>
      <c r="D68" s="146" t="n"/>
      <c r="E68" s="141" t="n"/>
      <c r="F68" s="143" t="n"/>
      <c r="G68" s="143" t="n"/>
      <c r="H68" s="143">
        <f>H67+G68-F68</f>
        <v/>
      </c>
    </row>
    <row r="69" ht="22.5" customHeight="1" s="100">
      <c r="A69" s="141" t="n"/>
      <c r="B69" s="142" t="n"/>
      <c r="C69" s="141" t="n"/>
      <c r="D69" s="146" t="n"/>
      <c r="E69" s="141" t="n"/>
      <c r="F69" s="143" t="n"/>
      <c r="G69" s="143" t="n"/>
      <c r="H69" s="143">
        <f>H68+G69-F69</f>
        <v/>
      </c>
    </row>
    <row r="70" ht="22.5" customHeight="1" s="100">
      <c r="A70" s="141" t="n"/>
      <c r="B70" s="142" t="n"/>
      <c r="C70" s="141" t="n"/>
      <c r="D70" s="146" t="n"/>
      <c r="E70" s="141" t="n"/>
      <c r="F70" s="143" t="n"/>
      <c r="G70" s="143" t="n"/>
      <c r="H70" s="143">
        <f>H69+G70-F70</f>
        <v/>
      </c>
    </row>
    <row r="71" ht="22.5" customHeight="1" s="100">
      <c r="A71" s="141" t="n"/>
      <c r="B71" s="142" t="n"/>
      <c r="C71" s="141" t="n"/>
      <c r="D71" s="146" t="n"/>
      <c r="E71" s="141" t="n"/>
      <c r="F71" s="143" t="n"/>
      <c r="G71" s="143" t="n"/>
      <c r="H71" s="143">
        <f>H70+G71-F71</f>
        <v/>
      </c>
    </row>
    <row r="72" ht="22.5" customHeight="1" s="100">
      <c r="A72" s="141" t="n"/>
      <c r="B72" s="142" t="n"/>
      <c r="C72" s="141" t="n"/>
      <c r="D72" s="146" t="n"/>
      <c r="E72" s="141" t="n"/>
      <c r="F72" s="143" t="n"/>
      <c r="G72" s="143" t="n"/>
      <c r="H72" s="143">
        <f>H71+G72-F72</f>
        <v/>
      </c>
    </row>
    <row r="73" ht="22.5" customHeight="1" s="100">
      <c r="A73" s="141" t="n"/>
      <c r="B73" s="142" t="n"/>
      <c r="C73" s="141" t="n"/>
      <c r="D73" s="146" t="n"/>
      <c r="E73" s="141" t="n"/>
      <c r="F73" s="143" t="n"/>
      <c r="G73" s="143" t="n"/>
      <c r="H73" s="143">
        <f>H72+G73-F73</f>
        <v/>
      </c>
    </row>
    <row r="74" ht="22.5" customHeight="1" s="100">
      <c r="A74" s="141" t="n"/>
      <c r="B74" s="142" t="n"/>
      <c r="C74" s="141" t="n"/>
      <c r="D74" s="146" t="n"/>
      <c r="E74" s="141" t="n"/>
      <c r="F74" s="143" t="n"/>
      <c r="G74" s="143" t="n"/>
      <c r="H74" s="143">
        <f>H73+G74-F74</f>
        <v/>
      </c>
    </row>
    <row r="75" ht="22.5" customHeight="1" s="100">
      <c r="A75" s="141" t="n"/>
      <c r="B75" s="142" t="n"/>
      <c r="C75" s="141" t="n"/>
      <c r="D75" s="146" t="n"/>
      <c r="E75" s="141" t="n"/>
      <c r="F75" s="143" t="n"/>
      <c r="G75" s="143" t="n"/>
      <c r="H75" s="143">
        <f>H74+G75-F75</f>
        <v/>
      </c>
    </row>
    <row r="76" ht="22.5" customHeight="1" s="100">
      <c r="A76" s="141" t="n"/>
      <c r="B76" s="142" t="n"/>
      <c r="C76" s="141" t="n"/>
      <c r="D76" s="146" t="n"/>
      <c r="E76" s="141" t="n"/>
      <c r="F76" s="143" t="n"/>
      <c r="G76" s="143" t="n"/>
      <c r="H76" s="143">
        <f>H75+G76-F76</f>
        <v/>
      </c>
    </row>
    <row r="77" ht="22.5" customHeight="1" s="100">
      <c r="A77" s="141" t="n"/>
      <c r="B77" s="142" t="n"/>
      <c r="C77" s="141" t="n"/>
      <c r="D77" s="146" t="n"/>
      <c r="E77" s="141" t="n"/>
      <c r="F77" s="143" t="n"/>
      <c r="G77" s="143" t="n"/>
      <c r="H77" s="143">
        <f>H76+G77-F77</f>
        <v/>
      </c>
    </row>
    <row r="78" ht="22.5" customHeight="1" s="100">
      <c r="A78" s="141" t="n"/>
      <c r="B78" s="142" t="n"/>
      <c r="C78" s="141" t="n"/>
      <c r="D78" s="146" t="n"/>
      <c r="E78" s="141" t="n"/>
      <c r="F78" s="143" t="n"/>
      <c r="G78" s="143" t="n"/>
      <c r="H78" s="143">
        <f>H77+G78-F78</f>
        <v/>
      </c>
    </row>
    <row r="79" ht="22.5" customHeight="1" s="100">
      <c r="A79" s="141" t="n"/>
      <c r="B79" s="142" t="n"/>
      <c r="C79" s="141" t="n"/>
      <c r="D79" s="146" t="n"/>
      <c r="E79" s="141" t="n"/>
      <c r="F79" s="143" t="n"/>
      <c r="G79" s="143" t="n"/>
      <c r="H79" s="143">
        <f>H78+G79-F79</f>
        <v/>
      </c>
    </row>
    <row r="80" ht="22.5" customHeight="1" s="100">
      <c r="A80" s="141" t="n"/>
      <c r="B80" s="142" t="n"/>
      <c r="C80" s="141" t="n"/>
      <c r="D80" s="146" t="n"/>
      <c r="E80" s="141" t="n"/>
      <c r="F80" s="143" t="n"/>
      <c r="G80" s="143" t="n"/>
      <c r="H80" s="143">
        <f>H79+G80-F80</f>
        <v/>
      </c>
    </row>
    <row r="81" ht="22.5" customHeight="1" s="100">
      <c r="A81" s="141" t="n"/>
      <c r="B81" s="142" t="n"/>
      <c r="C81" s="141" t="n"/>
      <c r="D81" s="146" t="n"/>
      <c r="E81" s="141" t="n"/>
      <c r="F81" s="143" t="n"/>
      <c r="G81" s="143" t="n"/>
      <c r="H81" s="143">
        <f>H80+G81-F81</f>
        <v/>
      </c>
    </row>
    <row r="82" ht="22.5" customHeight="1" s="100">
      <c r="A82" s="141" t="n"/>
      <c r="B82" s="142" t="n"/>
      <c r="C82" s="141" t="n"/>
      <c r="D82" s="146" t="n"/>
      <c r="E82" s="141" t="n"/>
      <c r="F82" s="143" t="n"/>
      <c r="G82" s="143" t="n"/>
      <c r="H82" s="143">
        <f>H81+G82-F82</f>
        <v/>
      </c>
    </row>
    <row r="83" ht="22.5" customHeight="1" s="100">
      <c r="A83" s="141" t="n"/>
      <c r="B83" s="142" t="n"/>
      <c r="C83" s="141" t="n"/>
      <c r="D83" s="146" t="n"/>
      <c r="E83" s="141" t="n"/>
      <c r="F83" s="143" t="n"/>
      <c r="G83" s="143" t="n"/>
      <c r="H83" s="143">
        <f>H82+G83-F83</f>
        <v/>
      </c>
    </row>
    <row r="84" ht="22.5" customHeight="1" s="100">
      <c r="A84" s="141" t="n"/>
      <c r="B84" s="142" t="n"/>
      <c r="C84" s="141" t="n"/>
      <c r="D84" s="146" t="n"/>
      <c r="E84" s="141" t="n"/>
      <c r="F84" s="143" t="n"/>
      <c r="G84" s="143" t="n"/>
      <c r="H84" s="143">
        <f>H83+G84-F84</f>
        <v/>
      </c>
    </row>
    <row r="85" ht="22.5" customHeight="1" s="100">
      <c r="A85" s="141" t="n"/>
      <c r="B85" s="142" t="n"/>
      <c r="C85" s="141" t="n"/>
      <c r="D85" s="146" t="n"/>
      <c r="E85" s="141" t="n"/>
      <c r="F85" s="143" t="n"/>
      <c r="G85" s="143" t="n"/>
      <c r="H85" s="143">
        <f>H84+G85-F85</f>
        <v/>
      </c>
    </row>
    <row r="86" ht="22.5" customHeight="1" s="100">
      <c r="A86" s="141" t="n"/>
      <c r="B86" s="142" t="n"/>
      <c r="C86" s="141" t="n"/>
      <c r="D86" s="146" t="n"/>
      <c r="E86" s="141" t="n"/>
      <c r="F86" s="143" t="n"/>
      <c r="G86" s="143" t="n"/>
      <c r="H86" s="143">
        <f>H85+G86-F86</f>
        <v/>
      </c>
    </row>
    <row r="87" ht="22.5" customHeight="1" s="100">
      <c r="A87" s="141" t="n"/>
      <c r="B87" s="142" t="n"/>
      <c r="C87" s="141" t="n"/>
      <c r="D87" s="146" t="n"/>
      <c r="E87" s="141" t="n"/>
      <c r="F87" s="143" t="n"/>
      <c r="G87" s="143" t="n"/>
      <c r="H87" s="143">
        <f>H86+G87-F87</f>
        <v/>
      </c>
    </row>
    <row r="88" ht="22.5" customHeight="1" s="100">
      <c r="A88" s="141" t="n"/>
      <c r="B88" s="142" t="n"/>
      <c r="C88" s="141" t="n"/>
      <c r="D88" s="146" t="n"/>
      <c r="E88" s="141" t="n"/>
      <c r="F88" s="143" t="n"/>
      <c r="G88" s="143" t="n"/>
      <c r="H88" s="143">
        <f>H87+G88-F88</f>
        <v/>
      </c>
    </row>
    <row r="89" ht="22.5" customHeight="1" s="100">
      <c r="A89" s="141" t="n"/>
      <c r="B89" s="142" t="n"/>
      <c r="C89" s="141" t="n"/>
      <c r="D89" s="146" t="n"/>
      <c r="E89" s="141" t="n"/>
      <c r="F89" s="143" t="n"/>
      <c r="G89" s="143" t="n"/>
      <c r="H89" s="143">
        <f>H88+G89-F89</f>
        <v/>
      </c>
    </row>
    <row r="90" ht="22.5" customHeight="1" s="100">
      <c r="A90" s="141" t="n"/>
      <c r="B90" s="142" t="n"/>
      <c r="C90" s="141" t="n"/>
      <c r="D90" s="146" t="n"/>
      <c r="E90" s="141" t="n"/>
      <c r="F90" s="143" t="n"/>
      <c r="G90" s="143" t="n"/>
      <c r="H90" s="143">
        <f>H89+G90-F90</f>
        <v/>
      </c>
    </row>
    <row r="91" ht="33.75" customHeight="1" s="100">
      <c r="A91" s="141" t="n"/>
      <c r="B91" s="142" t="n"/>
      <c r="C91" s="141" t="n"/>
      <c r="D91" s="146" t="n"/>
      <c r="E91" s="141" t="n"/>
      <c r="F91" s="143" t="n"/>
      <c r="G91" s="143" t="n"/>
      <c r="H91" s="143">
        <f>H90+G91-F91</f>
        <v/>
      </c>
    </row>
    <row r="92" ht="33.75" customHeight="1" s="100">
      <c r="A92" s="141" t="n"/>
      <c r="B92" s="142" t="n"/>
      <c r="C92" s="141" t="n"/>
      <c r="D92" s="146" t="n"/>
      <c r="E92" s="141" t="n"/>
      <c r="F92" s="143" t="n"/>
      <c r="G92" s="143" t="n"/>
      <c r="H92" s="143">
        <f>H91+G92-F92</f>
        <v/>
      </c>
    </row>
    <row r="93" ht="22.5" customHeight="1" s="100">
      <c r="A93" s="141" t="n"/>
      <c r="B93" s="142" t="n"/>
      <c r="C93" s="141" t="n"/>
      <c r="D93" s="146" t="n"/>
      <c r="E93" s="141" t="n"/>
      <c r="F93" s="143" t="n"/>
      <c r="G93" s="143" t="n"/>
      <c r="H93" s="143">
        <f>H92+G93-F93</f>
        <v/>
      </c>
    </row>
    <row r="94" ht="22.5" customHeight="1" s="100">
      <c r="A94" s="141" t="n"/>
      <c r="B94" s="142" t="n"/>
      <c r="C94" s="141" t="n"/>
      <c r="D94" s="146" t="n"/>
      <c r="E94" s="141" t="n"/>
      <c r="F94" s="143" t="n"/>
      <c r="G94" s="143" t="n"/>
      <c r="H94" s="143">
        <f>H93+G94-F94</f>
        <v/>
      </c>
    </row>
    <row r="95" ht="22.5" customHeight="1" s="100">
      <c r="A95" s="141" t="n"/>
      <c r="B95" s="142" t="n"/>
      <c r="C95" s="141" t="n"/>
      <c r="D95" s="146" t="n"/>
      <c r="E95" s="141" t="n"/>
      <c r="F95" s="143" t="n"/>
      <c r="G95" s="143" t="n"/>
      <c r="H95" s="143">
        <f>H94+G95-F95</f>
        <v/>
      </c>
    </row>
    <row r="96" ht="22.5" customHeight="1" s="100">
      <c r="A96" s="141" t="n"/>
      <c r="B96" s="142" t="n"/>
      <c r="C96" s="141" t="n"/>
      <c r="D96" s="146" t="n"/>
      <c r="E96" s="141" t="n"/>
      <c r="F96" s="143" t="n"/>
      <c r="G96" s="143" t="n"/>
      <c r="H96" s="143">
        <f>H95+G96-F96</f>
        <v/>
      </c>
    </row>
    <row r="97" ht="22.5" customHeight="1" s="100">
      <c r="A97" s="141" t="n"/>
      <c r="B97" s="142" t="n"/>
      <c r="C97" s="141" t="n"/>
      <c r="D97" s="146" t="n"/>
      <c r="E97" s="141" t="n"/>
      <c r="F97" s="143" t="n"/>
      <c r="G97" s="143" t="n"/>
      <c r="H97" s="143">
        <f>H96+G97-F97</f>
        <v/>
      </c>
    </row>
    <row r="98" ht="22.5" customHeight="1" s="100">
      <c r="A98" s="141" t="n"/>
      <c r="B98" s="142" t="n"/>
      <c r="C98" s="141" t="n"/>
      <c r="D98" s="146" t="n"/>
      <c r="E98" s="141" t="n"/>
      <c r="F98" s="143" t="n"/>
      <c r="G98" s="143" t="n"/>
      <c r="H98" s="143">
        <f>H97+G98-F98</f>
        <v/>
      </c>
    </row>
    <row r="99" ht="22.5" customHeight="1" s="100">
      <c r="A99" s="141" t="n"/>
      <c r="B99" s="142" t="n"/>
      <c r="C99" s="141" t="n"/>
      <c r="D99" s="146" t="n"/>
      <c r="E99" s="141" t="n"/>
      <c r="F99" s="143" t="n"/>
      <c r="G99" s="143" t="n"/>
      <c r="H99" s="143">
        <f>H98+G99-F99</f>
        <v/>
      </c>
    </row>
    <row r="100" ht="22.5" customHeight="1" s="100">
      <c r="A100" s="141" t="n"/>
      <c r="B100" s="142" t="n"/>
      <c r="C100" s="141" t="n"/>
      <c r="D100" s="146" t="n"/>
      <c r="E100" s="141" t="n"/>
      <c r="F100" s="143" t="n"/>
      <c r="G100" s="143" t="n"/>
      <c r="H100" s="143">
        <f>H99+G100-F100</f>
        <v/>
      </c>
    </row>
    <row r="101" ht="22.5" customHeight="1" s="100">
      <c r="A101" s="141" t="n"/>
      <c r="B101" s="142" t="n"/>
      <c r="C101" s="141" t="n"/>
      <c r="D101" s="146" t="n"/>
      <c r="E101" s="141" t="n"/>
      <c r="F101" s="143" t="n"/>
      <c r="G101" s="143" t="n"/>
      <c r="H101" s="143">
        <f>H100+G101-F101</f>
        <v/>
      </c>
    </row>
    <row r="102" ht="22.5" customHeight="1" s="100">
      <c r="A102" s="141" t="n"/>
      <c r="B102" s="142" t="n"/>
      <c r="C102" s="141" t="n"/>
      <c r="D102" s="146" t="n"/>
      <c r="E102" s="141" t="n"/>
      <c r="F102" s="143" t="n"/>
      <c r="G102" s="143" t="n"/>
      <c r="H102" s="143">
        <f>H101+G102-F102</f>
        <v/>
      </c>
    </row>
    <row r="103" ht="22.5" customHeight="1" s="100">
      <c r="A103" s="141" t="n"/>
      <c r="B103" s="142" t="n"/>
      <c r="C103" s="141" t="n"/>
      <c r="D103" s="146" t="n"/>
      <c r="E103" s="141" t="n"/>
      <c r="F103" s="143" t="n"/>
      <c r="G103" s="143" t="n"/>
      <c r="H103" s="143">
        <f>H102+G103-F103</f>
        <v/>
      </c>
    </row>
    <row r="104" ht="22.5" customHeight="1" s="100">
      <c r="A104" s="141" t="n"/>
      <c r="B104" s="142" t="n"/>
      <c r="C104" s="141" t="n"/>
      <c r="D104" s="146" t="n"/>
      <c r="E104" s="141" t="n"/>
      <c r="F104" s="143" t="n"/>
      <c r="G104" s="143" t="n"/>
      <c r="H104" s="143">
        <f>H103+G104-F104</f>
        <v/>
      </c>
    </row>
    <row r="105" ht="22.5" customHeight="1" s="100">
      <c r="A105" s="141" t="n"/>
      <c r="B105" s="142" t="n"/>
      <c r="C105" s="141" t="n"/>
      <c r="D105" s="146" t="n"/>
      <c r="E105" s="141" t="n"/>
      <c r="F105" s="143" t="n"/>
      <c r="G105" s="143" t="n"/>
      <c r="H105" s="143">
        <f>H104+G105-F105</f>
        <v/>
      </c>
    </row>
    <row r="106" ht="22.5" customHeight="1" s="100">
      <c r="A106" s="141" t="n"/>
      <c r="B106" s="142" t="n"/>
      <c r="C106" s="141" t="n"/>
      <c r="D106" s="146" t="n"/>
      <c r="E106" s="141" t="n"/>
      <c r="F106" s="143" t="n"/>
      <c r="G106" s="143" t="n"/>
      <c r="H106" s="143">
        <f>H105+G106-F106</f>
        <v/>
      </c>
    </row>
    <row r="107" ht="22.5" customHeight="1" s="100">
      <c r="A107" s="141" t="n"/>
      <c r="B107" s="142" t="n"/>
      <c r="C107" s="141" t="n"/>
      <c r="D107" s="146" t="n"/>
      <c r="E107" s="141" t="n"/>
      <c r="F107" s="143" t="n"/>
      <c r="G107" s="143" t="n"/>
      <c r="H107" s="143">
        <f>H106+G107-F107</f>
        <v/>
      </c>
    </row>
    <row r="108" ht="22.5" customHeight="1" s="100">
      <c r="A108" s="141" t="n"/>
      <c r="B108" s="142" t="n"/>
      <c r="C108" s="141" t="n"/>
      <c r="D108" s="146" t="n"/>
      <c r="E108" s="141" t="n"/>
      <c r="F108" s="143" t="n"/>
      <c r="G108" s="143" t="n"/>
      <c r="H108" s="143">
        <f>H107+G108-F108</f>
        <v/>
      </c>
    </row>
    <row r="109" ht="22.5" customHeight="1" s="100">
      <c r="A109" s="141" t="n"/>
      <c r="B109" s="142" t="n"/>
      <c r="C109" s="141" t="n"/>
      <c r="D109" s="146" t="n"/>
      <c r="E109" s="141" t="n"/>
      <c r="F109" s="143" t="n"/>
      <c r="G109" s="143" t="n"/>
      <c r="H109" s="143">
        <f>H108+G109-F109</f>
        <v/>
      </c>
    </row>
    <row r="110" ht="22.5" customHeight="1" s="100">
      <c r="A110" s="141" t="n"/>
      <c r="B110" s="142" t="n"/>
      <c r="C110" s="141" t="n"/>
      <c r="D110" s="146" t="n"/>
      <c r="E110" s="141" t="n"/>
      <c r="F110" s="143" t="n"/>
      <c r="G110" s="143" t="n"/>
      <c r="H110" s="143">
        <f>H109+G110-F110</f>
        <v/>
      </c>
    </row>
    <row r="111" ht="22.5" customHeight="1" s="100">
      <c r="A111" s="141" t="n"/>
      <c r="B111" s="142" t="n"/>
      <c r="C111" s="141" t="n"/>
      <c r="D111" s="146" t="n"/>
      <c r="E111" s="141" t="n"/>
      <c r="F111" s="143" t="n"/>
      <c r="G111" s="143" t="n"/>
      <c r="H111" s="143">
        <f>H110+G111-F111</f>
        <v/>
      </c>
    </row>
    <row r="112" ht="22.5" customHeight="1" s="100">
      <c r="A112" s="141" t="n"/>
      <c r="B112" s="142" t="n"/>
      <c r="C112" s="141" t="n"/>
      <c r="D112" s="146" t="n"/>
      <c r="E112" s="141" t="n"/>
      <c r="F112" s="143" t="n"/>
      <c r="G112" s="143" t="n"/>
      <c r="H112" s="143">
        <f>H111+G112-F112</f>
        <v/>
      </c>
    </row>
    <row r="113" ht="22.5" customHeight="1" s="100">
      <c r="A113" s="141" t="n"/>
      <c r="B113" s="142" t="n"/>
      <c r="C113" s="141" t="n"/>
      <c r="D113" s="146" t="n"/>
      <c r="E113" s="141" t="n"/>
      <c r="F113" s="143" t="n"/>
      <c r="G113" s="143" t="n"/>
      <c r="H113" s="143">
        <f>H112+G113-F113</f>
        <v/>
      </c>
    </row>
    <row r="114" ht="22.5" customHeight="1" s="100">
      <c r="A114" s="141" t="n"/>
      <c r="B114" s="142" t="n"/>
      <c r="C114" s="141" t="n"/>
      <c r="D114" s="146" t="n"/>
      <c r="E114" s="141" t="n"/>
      <c r="F114" s="143" t="n"/>
      <c r="G114" s="143" t="n"/>
      <c r="H114" s="143">
        <f>H113+G114-F114</f>
        <v/>
      </c>
    </row>
  </sheetData>
  <autoFilter ref="A7:H114"/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6FA3AB"/>
    <outlinePr summaryBelow="1" summaryRight="1"/>
    <pageSetUpPr fitToPage="1"/>
  </sheetPr>
  <dimension ref="A1:H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3" customWidth="1" style="99" min="1" max="1"/>
    <col width="40" customWidth="1" style="99" min="2" max="2"/>
    <col width="16" customWidth="1" style="99" min="3" max="3"/>
    <col width="34" customWidth="1" style="99" min="4" max="4"/>
    <col width="28" customWidth="1" style="99" min="5" max="5"/>
    <col width="16" customWidth="1" style="99" min="6" max="8"/>
  </cols>
  <sheetData>
    <row r="1" ht="21.75" customHeight="1" s="100">
      <c r="A1" s="101" t="n"/>
      <c r="B1" s="101" t="n"/>
      <c r="C1" s="102" t="inlineStr">
        <is>
          <t>MLR CONSULTORES</t>
        </is>
      </c>
      <c r="D1" s="101" t="n"/>
      <c r="E1" s="101" t="n"/>
      <c r="F1" s="101" t="n"/>
      <c r="G1" s="101" t="n"/>
      <c r="H1" s="101" t="n"/>
    </row>
    <row r="2" ht="25.5" customHeight="1" s="100">
      <c r="A2" s="101" t="n"/>
      <c r="B2" s="101" t="n"/>
      <c r="C2" s="103" t="inlineStr">
        <is>
          <t>Reglas de la conciliación</t>
        </is>
      </c>
      <c r="D2" s="101" t="n"/>
      <c r="E2" s="101" t="n"/>
      <c r="F2" s="101" t="n"/>
      <c r="G2" s="101" t="n"/>
      <c r="H2" s="101" t="n"/>
    </row>
    <row r="3" ht="18" customHeight="1" s="100">
      <c r="A3" s="101" t="n"/>
      <c r="B3" s="101" t="n"/>
      <c r="C3" s="104" t="inlineStr">
        <is>
          <t>&lt;Empresa&gt;  ·  &lt;Mes Año&gt;</t>
        </is>
      </c>
      <c r="D3" s="101" t="n"/>
      <c r="E3" s="101" t="n"/>
      <c r="F3" s="101" t="n"/>
      <c r="G3" s="101" t="n"/>
      <c r="H3" s="101" t="n"/>
    </row>
    <row r="4"/>
    <row r="5" ht="14.25" customHeight="1" s="100">
      <c r="A5" s="105" t="inlineStr">
        <is>
          <t>Las celdas en azul claro son las únicas que se editan. Si cambias una tolerancia, todo el libro se recalcula.</t>
        </is>
      </c>
    </row>
    <row r="6"/>
    <row r="7" ht="15" customHeight="1" s="100">
      <c r="B7" s="185" t="inlineStr">
        <is>
          <t>Diferencia máxima de importe (pesos)</t>
        </is>
      </c>
      <c r="C7" s="186" t="n">
        <v>1</v>
      </c>
    </row>
    <row r="8" ht="15" customHeight="1" s="100">
      <c r="B8" s="185" t="inlineStr">
        <is>
          <t>Desfase máximo de fecha (días)</t>
        </is>
      </c>
      <c r="C8" s="186" t="n">
        <v>3</v>
      </c>
    </row>
    <row r="9"/>
    <row r="10" ht="15" customHeight="1" s="100">
      <c r="B10" s="108" t="inlineStr">
        <is>
          <t>Estatus de cada renglón</t>
        </is>
      </c>
    </row>
    <row r="11" ht="30" customHeight="1" s="100">
      <c r="B11" s="130" t="inlineStr">
        <is>
          <t>Conciliado</t>
        </is>
      </c>
      <c r="C11" s="187" t="inlineStr">
        <is>
          <t>Banco, Odoo y CFDI coinciden dentro de las tolerancias. Incluye comisiones, impuestos y nómina, que no requieren CFDI individual.</t>
        </is>
      </c>
    </row>
    <row r="12" ht="30" customHeight="1" s="100">
      <c r="B12" s="132" t="inlineStr">
        <is>
          <t>Conciliado (validar)</t>
        </is>
      </c>
      <c r="C12" s="187" t="inlineStr">
        <is>
          <t>Un pago que cubre varias facturas, varias facturas en un pago, o un cobro parcial de una factura.</t>
        </is>
      </c>
    </row>
    <row r="13" ht="30" customHeight="1" s="100">
      <c r="B13" s="133" t="inlineStr">
        <is>
          <t>Conciliado (revisar)</t>
        </is>
      </c>
      <c r="C13" s="187" t="inlineStr">
        <is>
          <t>Tiene pareja, pero la diferencia pasa de la tolerancia de importe o el desfase pasa de la tolerancia de días.</t>
        </is>
      </c>
    </row>
    <row r="14" ht="30" customHeight="1" s="100">
      <c r="B14" s="134" t="inlineStr">
        <is>
          <t>No identificado</t>
        </is>
      </c>
      <c r="C14" s="187" t="inlineStr">
        <is>
          <t>Está en el banco y no en Odoo, está en Odoo y no en el banco, o no tiene CFDI que lo respalde.</t>
        </is>
      </c>
    </row>
    <row r="15"/>
    <row r="16"/>
    <row r="17" ht="15" customHeight="1" s="100">
      <c r="B17" s="108" t="inlineStr">
        <is>
          <t>Retenciones cuando una persona moral paga a una persona física</t>
        </is>
      </c>
    </row>
    <row r="18" ht="14.25" customHeight="1" s="100">
      <c r="B18" s="188" t="inlineStr">
        <is>
          <t>Tipo de proveedor</t>
        </is>
      </c>
      <c r="C18" s="188" t="inlineStr">
        <is>
          <t>ISR retenido</t>
        </is>
      </c>
      <c r="D18" s="188" t="inlineStr">
        <is>
          <t>IVA retenido</t>
        </is>
      </c>
      <c r="E18" s="188" t="inlineStr">
        <is>
          <t>Color</t>
        </is>
      </c>
    </row>
    <row r="19" ht="30" customHeight="1" s="100">
      <c r="B19" s="189" t="inlineStr">
        <is>
          <t>Honorarios (servicios profesionales)</t>
        </is>
      </c>
      <c r="C19" s="189" t="inlineStr">
        <is>
          <t>10%</t>
        </is>
      </c>
      <c r="D19" s="189" t="inlineStr">
        <is>
          <t>2/3 del IVA</t>
        </is>
      </c>
      <c r="E19" s="190" t="inlineStr">
        <is>
          <t>Honorarios</t>
        </is>
      </c>
    </row>
    <row r="20" ht="30" customHeight="1" s="100">
      <c r="B20" s="189" t="inlineStr">
        <is>
          <t>Arrendamiento</t>
        </is>
      </c>
      <c r="C20" s="189" t="inlineStr">
        <is>
          <t>10%</t>
        </is>
      </c>
      <c r="D20" s="189" t="inlineStr">
        <is>
          <t>2/3 del IVA</t>
        </is>
      </c>
      <c r="E20" s="191" t="inlineStr">
        <is>
          <t>Arrendamiento</t>
        </is>
      </c>
    </row>
    <row r="21" ht="30" customHeight="1" s="100">
      <c r="B21" s="189" t="inlineStr">
        <is>
          <t>RESICO con actividad empresarial</t>
        </is>
      </c>
      <c r="C21" s="189" t="inlineStr">
        <is>
          <t>1.25%</t>
        </is>
      </c>
      <c r="D21" s="189" t="inlineStr">
        <is>
          <t>No hay</t>
        </is>
      </c>
      <c r="E21" s="192" t="inlineStr">
        <is>
          <t>RESICO actividad empresarial</t>
        </is>
      </c>
    </row>
    <row r="22" ht="30" customHeight="1" s="100">
      <c r="B22" s="189" t="inlineStr">
        <is>
          <t>RESICO con honorarios</t>
        </is>
      </c>
      <c r="C22" s="189" t="inlineStr">
        <is>
          <t>1.25%</t>
        </is>
      </c>
      <c r="D22" s="189" t="inlineStr">
        <is>
          <t>2/3 del IVA</t>
        </is>
      </c>
      <c r="E22" s="193" t="inlineStr">
        <is>
          <t>RESICO honorarios</t>
        </is>
      </c>
    </row>
    <row r="23" ht="30" customHeight="1" s="100">
      <c r="B23" s="189" t="inlineStr">
        <is>
          <t>RESICO con arrendamiento</t>
        </is>
      </c>
      <c r="C23" s="189" t="inlineStr">
        <is>
          <t>1.25%</t>
        </is>
      </c>
      <c r="D23" s="189" t="inlineStr">
        <is>
          <t>2/3 del IVA</t>
        </is>
      </c>
      <c r="E23" s="194" t="inlineStr">
        <is>
          <t>RESICO arrendamiento</t>
        </is>
      </c>
    </row>
    <row r="24" ht="30" customHeight="1" s="100">
      <c r="B24" s="189" t="inlineStr">
        <is>
          <t>Fletes (autotransporte de bienes)</t>
        </is>
      </c>
      <c r="C24" s="189" t="inlineStr">
        <is>
          <t>No hay</t>
        </is>
      </c>
      <c r="D24" s="189" t="inlineStr">
        <is>
          <t>4% (art. 1-A, fr. II, inc. c, LIVA): por confirmar criterio</t>
        </is>
      </c>
      <c r="E24" s="195" t="inlineStr">
        <is>
          <t>Fletes</t>
        </is>
      </c>
    </row>
    <row r="25" ht="30" customHeight="1" s="100">
      <c r="B25" s="189" t="inlineStr">
        <is>
          <t>Comisiones</t>
        </is>
      </c>
      <c r="C25" s="189" t="inlineStr">
        <is>
          <t>No hay</t>
        </is>
      </c>
      <c r="D25" s="189" t="inlineStr">
        <is>
          <t>2/3 del IVA (art. 3, fr. I, RLIVA): por confirmar criterio</t>
        </is>
      </c>
      <c r="E25" s="196" t="inlineStr">
        <is>
          <t>Comisiones</t>
        </is>
      </c>
    </row>
    <row r="26" ht="30" customHeight="1" s="100">
      <c r="B26" s="189" t="inlineStr">
        <is>
          <t>Actividad empresarial (no RESICO)</t>
        </is>
      </c>
      <c r="C26" s="189" t="inlineStr">
        <is>
          <t>No hay</t>
        </is>
      </c>
      <c r="D26" s="189" t="inlineStr">
        <is>
          <t>No hay</t>
        </is>
      </c>
      <c r="E26" s="197" t="inlineStr">
        <is>
          <t>Sin retención</t>
        </is>
      </c>
    </row>
    <row r="27"/>
    <row r="28" ht="30" customHeight="1" s="100">
      <c r="B28" s="198" t="inlineStr">
        <is>
          <t>Fuente: tabla de retenciones de CONTPAQi compartida por el analista, con dos ajustes (fletes y comisiones) pendientes de criterio. La retención de IVA del 6% no se usa. Una factura sin retención que por su concepto debió llevarla se marca como alerta.</t>
        </is>
      </c>
    </row>
    <row r="29" ht="14.25" customHeight="1" s="100"/>
    <row r="30"/>
    <row r="31" ht="15" customHeight="1" s="100">
      <c r="B31" s="108" t="inlineStr">
        <is>
          <t>Palabras con que se lee el concepto de la factura</t>
        </is>
      </c>
    </row>
    <row r="32" ht="14.25" customHeight="1" s="100">
      <c r="B32" s="157" t="inlineStr">
        <is>
          <t>Arrendamiento</t>
        </is>
      </c>
      <c r="C32" s="110" t="inlineStr">
        <is>
          <t>renta, arrend, alquiler</t>
        </is>
      </c>
    </row>
    <row r="33" ht="14.25" customHeight="1" s="100">
      <c r="B33" s="157" t="inlineStr">
        <is>
          <t>Fletes</t>
        </is>
      </c>
      <c r="C33" s="110" t="inlineStr">
        <is>
          <t>flete, autotransporte, transporte de carga, maniobra</t>
        </is>
      </c>
    </row>
    <row r="34" ht="14.25" customHeight="1" s="100">
      <c r="B34" s="157" t="inlineStr">
        <is>
          <t>Comisiones</t>
        </is>
      </c>
      <c r="C34" s="110" t="inlineStr">
        <is>
          <t>comision</t>
        </is>
      </c>
    </row>
    <row r="35" ht="14.25" customHeight="1" s="100">
      <c r="B35" s="157" t="inlineStr">
        <is>
          <t>Honorarios</t>
        </is>
      </c>
      <c r="C35" s="110" t="inlineStr">
        <is>
          <t>honorario, servicios profesionales, consultoria, asesoria, contable, juridic, auditoria</t>
        </is>
      </c>
    </row>
  </sheetData>
  <mergeCells count="9">
    <mergeCell ref="B28:H29"/>
    <mergeCell ref="C11:H11"/>
    <mergeCell ref="C32:H32"/>
    <mergeCell ref="C33:H33"/>
    <mergeCell ref="C14:H14"/>
    <mergeCell ref="C13:H13"/>
    <mergeCell ref="C35:H35"/>
    <mergeCell ref="C34:H34"/>
    <mergeCell ref="C12:H12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2026-09-23T16:23:43Z</dcterms:created>
  <dcterms:modified xmlns:dcterms="http://purl.org/dc/terms/" xmlns:xsi="http://www.w3.org/2001/XMLSchema-instance" xsi:type="dcterms:W3CDTF">2026-09-28T23:50:40Z</dcterms:modified>
  <cp:lastModifiedBy>MLR CONSULTORES</cp:lastModifiedBy>
  <cp:revision>0</cp:revision>
</cp:coreProperties>
</file>