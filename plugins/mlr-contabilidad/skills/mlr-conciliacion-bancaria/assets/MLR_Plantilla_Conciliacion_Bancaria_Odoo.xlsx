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0_Parametros" sheetId="2" state="visible" r:id="rId2"/>
    <sheet xmlns:r="http://schemas.openxmlformats.org/officeDocument/2006/relationships" name="01_Diagnostico" sheetId="3" state="visible" r:id="rId3"/>
    <sheet xmlns:r="http://schemas.openxmlformats.org/officeDocument/2006/relationships" name="02_Extracto" sheetId="4" state="visible" r:id="rId4"/>
    <sheet xmlns:r="http://schemas.openxmlformats.org/officeDocument/2006/relationships" name="03_Odoo_Abiertos" sheetId="5" state="visible" r:id="rId5"/>
    <sheet xmlns:r="http://schemas.openxmlformats.org/officeDocument/2006/relationships" name="04_Propuesta" sheetId="6" state="visible" r:id="rId6"/>
    <sheet xmlns:r="http://schemas.openxmlformats.org/officeDocument/2006/relationships" name="05_Sin_Match" sheetId="7" state="visible" r:id="rId7"/>
    <sheet xmlns:r="http://schemas.openxmlformats.org/officeDocument/2006/relationships" name="06_Ajustes" sheetId="8" state="visible" r:id="rId8"/>
    <sheet xmlns:r="http://schemas.openxmlformats.org/officeDocument/2006/relationships" name="07_Impuestos" sheetId="9" state="visible" r:id="rId9"/>
    <sheet xmlns:r="http://schemas.openxmlformats.org/officeDocument/2006/relationships" name="08_Verificacion" sheetId="10" state="visible" r:id="rId10"/>
    <sheet xmlns:r="http://schemas.openxmlformats.org/officeDocument/2006/relationships" name="09_Reversion" sheetId="11" state="visible" r:id="rId11"/>
    <sheet xmlns:r="http://schemas.openxmlformats.org/officeDocument/2006/relationships" name="10_Bitacora" sheetId="12" state="visible" r:id="rId12"/>
    <sheet xmlns:r="http://schemas.openxmlformats.org/officeDocument/2006/relationships" name="11_Catalogos" sheetId="13" state="visible" r:id="rId13"/>
  </sheets>
  <definedNames>
    <definedName name="_xlnm._FilterDatabase" localSheetId="2" hidden="1">'01_Diagnostico'!$A$4:$J$64</definedName>
    <definedName name="_xlnm._FilterDatabase" localSheetId="3" hidden="1">'02_Extracto'!$A$4:$N$64</definedName>
    <definedName name="_xlnm._FilterDatabase" localSheetId="4" hidden="1">'03_Odoo_Abiertos'!$A$4:$L$64</definedName>
    <definedName name="_xlnm._FilterDatabase" localSheetId="5" hidden="1">'04_Propuesta'!$A$4:$T$64</definedName>
    <definedName name="_xlnm._FilterDatabase" localSheetId="6" hidden="1">'05_Sin_Match'!$A$4:$H$64</definedName>
    <definedName name="_xlnm._FilterDatabase" localSheetId="7" hidden="1">'06_Ajustes'!$A$4:$L$64</definedName>
    <definedName name="_xlnm._FilterDatabase" localSheetId="8" hidden="1">'07_Impuestos'!$A$4:$P$64</definedName>
    <definedName name="_xlnm._FilterDatabase" localSheetId="10" hidden="1">'09_Reversion'!$A$4:$G$64</definedName>
    <definedName name="_xlnm._FilterDatabase" localSheetId="11" hidden="1">'10_Bitacora'!$A$4:$I$64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.00;[RED]\-#,##0.00;\-"/>
    <numFmt numFmtId="165" formatCode="dd/mm/yyyy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Oswald"/>
      <charset val="1"/>
      <family val="0"/>
      <b val="1"/>
      <color rgb="FF24606C"/>
      <sz val="16"/>
    </font>
    <font>
      <name val="Inter"/>
      <charset val="1"/>
      <family val="0"/>
      <i val="1"/>
      <color rgb="FF2B2B2B"/>
      <sz val="9"/>
    </font>
    <font>
      <name val="Inter"/>
      <charset val="1"/>
      <family val="0"/>
      <b val="1"/>
      <color rgb="FF2B2B2B"/>
      <sz val="10"/>
    </font>
    <font>
      <name val="Inter"/>
      <charset val="1"/>
      <family val="0"/>
      <color rgb="FF2B2B2B"/>
      <sz val="10"/>
    </font>
    <font>
      <name val="Inter"/>
      <charset val="1"/>
      <family val="0"/>
      <color rgb="FFFFFFFF"/>
      <sz val="10"/>
    </font>
    <font>
      <name val="Oswald"/>
      <charset val="1"/>
      <family val="0"/>
      <b val="1"/>
      <color rgb="FFFFFFFF"/>
      <sz val="10"/>
    </font>
    <font>
      <name val="Inter"/>
      <charset val="1"/>
      <family val="0"/>
      <i val="1"/>
      <color rgb="FF6B7B80"/>
      <sz val="10"/>
    </font>
    <font>
      <name val="Inter"/>
      <charset val="1"/>
      <family val="0"/>
      <b val="1"/>
      <color rgb="FF9A2B2B"/>
      <sz val="10"/>
    </font>
    <font>
      <name val="Arial"/>
      <family val="2"/>
      <sz val="10"/>
    </font>
    <font>
      <name val="Oswald"/>
      <charset val="1"/>
      <family val="0"/>
      <b val="1"/>
      <color rgb="FF24606C"/>
      <sz val="12"/>
    </font>
    <font>
      <name val="Oswald"/>
      <charset val="1"/>
      <family val="0"/>
      <b val="1"/>
      <color rgb="FF452E27"/>
      <sz val="12"/>
    </font>
  </fonts>
  <fills count="5">
    <fill>
      <patternFill/>
    </fill>
    <fill>
      <patternFill patternType="gray125"/>
    </fill>
    <fill>
      <patternFill patternType="solid">
        <fgColor rgb="FFE6F3FB"/>
        <bgColor rgb="FFFFFFFF"/>
      </patternFill>
    </fill>
    <fill>
      <patternFill patternType="solid">
        <fgColor rgb="FF452E27"/>
        <bgColor rgb="FF2B2B2B"/>
      </patternFill>
    </fill>
    <fill>
      <patternFill patternType="solid">
        <fgColor rgb="FF24606C"/>
        <bgColor rgb="FF008080"/>
      </patternFill>
    </fill>
  </fills>
  <borders count="2">
    <border>
      <left/>
      <right/>
      <top/>
      <bottom/>
      <diagonal/>
    </border>
    <border>
      <left style="thin">
        <color rgb="FFC9D6DA"/>
      </left>
      <right style="thin">
        <color rgb="FFC9D6DA"/>
      </right>
      <top style="thin">
        <color rgb="FFC9D6DA"/>
      </top>
      <bottom style="thin">
        <color rgb="FFC9D6D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11" fillId="2" borderId="1" applyAlignment="1" pivotButton="0" quotePrefix="0" xfId="0">
      <alignment horizontal="general" vertical="bottom"/>
    </xf>
    <xf numFmtId="164" fontId="10" fillId="2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top" wrapText="1"/>
    </xf>
    <xf numFmtId="0" fontId="10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165" fontId="10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 wrapText="1"/>
    </xf>
    <xf numFmtId="164" fontId="10" fillId="0" borderId="1" applyAlignment="1" pivotButton="0" quotePrefix="0" xfId="0">
      <alignment horizontal="general" vertical="top" wrapText="1"/>
    </xf>
    <xf numFmtId="165" fontId="7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bottom"/>
    </xf>
    <xf numFmtId="164" fontId="7" fillId="2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11" fillId="2" borderId="1" applyAlignment="1" pivotButton="0" quotePrefix="0" xfId="0">
      <alignment horizontal="general" vertical="bottom"/>
    </xf>
    <xf numFmtId="164" fontId="10" fillId="2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top" wrapText="1"/>
    </xf>
    <xf numFmtId="0" fontId="10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165" fontId="10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 wrapText="1"/>
    </xf>
    <xf numFmtId="164" fontId="10" fillId="0" borderId="1" applyAlignment="1" pivotButton="0" quotePrefix="0" xfId="0">
      <alignment horizontal="general" vertical="top" wrapText="1"/>
    </xf>
    <xf numFmtId="165" fontId="7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bottom"/>
    </xf>
    <xf numFmtId="164" fontId="7" fillId="2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24606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B2B2B"/>
          <bgColor rgb="FF000000"/>
        </patternFill>
      </fill>
    </dxf>
    <dxf>
      <fill>
        <patternFill patternType="solid">
          <fgColor rgb="FF6B7B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52E27"/>
          <bgColor rgb="FF000000"/>
        </patternFill>
      </fill>
    </dxf>
    <dxf>
      <fill>
        <patternFill patternType="solid">
          <fgColor rgb="FFE6F3FB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4606C"/>
      <rgbColor rgb="FFC0C0C0"/>
      <rgbColor rgb="FF6B7B80"/>
      <rgbColor rgb="FF9999FF"/>
      <rgbColor rgb="FF993366"/>
      <rgbColor rgb="FFFFFFCC"/>
      <rgbColor rgb="FFE6F3FB"/>
      <rgbColor rgb="FF660066"/>
      <rgbColor rgb="FFFF8080"/>
      <rgbColor rgb="FF0066CC"/>
      <rgbColor rgb="FFC9D6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52E27"/>
      <rgbColor rgb="FF9A2B2B"/>
      <rgbColor rgb="FF993366"/>
      <rgbColor rgb="FF333399"/>
      <rgbColor rgb="FF2B2B2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Unknown Author</author>
  </authors>
  <commentList>
    <comment ref="A5" authorId="0" shapeId="0">
      <text>
        <t>Renglón de ejemplo con datos reales de Aliso Terapia (conciliación sep-2026). Bórralo al usar la plantilla.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5" authorId="0" shapeId="0">
      <text>
        <t>Renglón de ejemplo con datos reales de Aliso Terapia (conciliación sep-2026). Bórralo al usar la plantilla.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A5" authorId="0" shapeId="0">
      <text>
        <t>Renglón de ejemplo con datos reales de Aliso Terapia (conciliación sep-2026). Bórralo al usar la plantilla.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A5" authorId="0" shapeId="0">
      <text>
        <t>Renglón de ejemplo con datos reales de Aliso Terapia (conciliación sep-2026). Bórralo al usar la plantilla.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A5" authorId="0" shapeId="0">
      <text>
        <t>Renglón de ejemplo con datos reales de Aliso Terapia (conciliación sep-2026). Bórralo al usar la plantilla.</t>
      </text>
    </comment>
  </commentList>
</comments>
</file>

<file path=xl/comments/comment6.xml><?xml version="1.0" encoding="utf-8"?>
<comments xmlns="http://schemas.openxmlformats.org/spreadsheetml/2006/main">
  <authors>
    <author>Unknown Author</author>
  </authors>
  <commentList>
    <comment ref="A5" authorId="0" shapeId="0">
      <text>
        <t>Renglón de ejemplo con datos reales de Aliso Terapia (conciliación sep-2026). Bórralo al usar la plantilla.</t>
      </text>
    </comment>
  </commentList>
</comments>
</file>

<file path=xl/comments/comment7.xml><?xml version="1.0" encoding="utf-8"?>
<comments xmlns="http://schemas.openxmlformats.org/spreadsheetml/2006/main">
  <authors>
    <author>Unknown Author</author>
  </authors>
  <commentList>
    <comment ref="A5" authorId="0" shapeId="0">
      <text>
        <t>Renglón de ejemplo con datos reales de Aliso Terapia (conciliación sep-2026). Bórralo al usar la plantilla.</t>
      </text>
    </comment>
  </commentList>
</comments>
</file>

<file path=xl/comments/comment8.xml><?xml version="1.0" encoding="utf-8"?>
<comments xmlns="http://schemas.openxmlformats.org/spreadsheetml/2006/main">
  <authors>
    <author>Unknown Author</author>
  </authors>
  <commentList>
    <comment ref="A5" authorId="0" shapeId="0">
      <text>
        <t>Renglón de ejemplo con datos reales de Aliso Terapia (conciliación sep-2026). Bórralo al usar la plantilla.</t>
      </text>
    </comment>
  </commentList>
</comments>
</file>

<file path=xl/comments/comment9.xml><?xml version="1.0" encoding="utf-8"?>
<comments xmlns="http://schemas.openxmlformats.org/spreadsheetml/2006/main">
  <authors>
    <author>Unknown Author</author>
  </authors>
  <commentList>
    <comment ref="A5" authorId="0" shapeId="0">
      <text>
        <t>Renglón de ejemplo con datos reales de Aliso Terapia (conciliación sep-2026). Bórralo al usar la plantilla.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 filterMode="0">
    <tabColor rgb="FF24606C"/>
    <outlinePr summaryBelow="1" summaryRight="1"/>
    <pageSetUpPr fitToPage="0"/>
  </sheetPr>
  <dimension ref="A1:C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29" min="1" max="1"/>
    <col width="26" customWidth="1" style="29" min="2" max="2"/>
    <col width="110" customWidth="1" style="29" min="3" max="3"/>
  </cols>
  <sheetData>
    <row r="1" ht="19.7" customHeight="1" s="30">
      <c r="A1" s="31" t="inlineStr">
        <is>
          <t>Conciliación bancaria en Odoo · Control y aprobación</t>
        </is>
      </c>
    </row>
    <row r="2" ht="15" customHeight="1" s="30">
      <c r="A2" s="32" t="inlineStr">
        <is>
          <t>MLR Consultores · Plantilla de trabajo. La skill propone, el usuario aprueba y la skill aplica solo lo aprobado.</t>
        </is>
      </c>
    </row>
    <row r="4" ht="48" customHeight="1" s="30">
      <c r="B4" s="33" t="inlineStr">
        <is>
          <t>Flujo</t>
        </is>
      </c>
      <c r="C4" s="34" t="inlineStr">
        <is>
          <t>1. Llenar 00_Parametros (sin API key). 2. La skill genera 01_Diagnostico, 02_Extracto y 03_Odoo_Abiertos en solo lectura. 3. La skill propone en 04, 05, 06 y 07. 4. El usuario marca Aprobado = Sí / No / Modificar. 5. La skill aplica solo filas con Sí, escribe el resultado en la misma fila y registra en 10_Bitacora. 6. 08_Verificacion debe quedar en OK antes de cerrar.</t>
        </is>
      </c>
    </row>
    <row r="5" ht="48" customHeight="1" s="30">
      <c r="B5" s="33" t="inlineStr">
        <is>
          <t>Celdas a editar</t>
        </is>
      </c>
      <c r="C5" s="34" t="inlineStr">
        <is>
          <t>Solo las celdas con fondo azul claro. Las columnas de encabezado café son de aprobación del usuario. Todo lo demás lo llena la skill.</t>
        </is>
      </c>
    </row>
    <row r="6" ht="48" customHeight="1" s="30">
      <c r="B6" s="33" t="inlineStr">
        <is>
          <t>Renglón de ejemplo</t>
        </is>
      </c>
      <c r="C6" s="34" t="inlineStr">
        <is>
          <t>Cada hoja trae un renglón de ejemplo en gris cursiva con datos reales de la empresa de demostración. Borrarlo antes de usar la plantilla.</t>
        </is>
      </c>
    </row>
    <row r="7" ht="48" customHeight="1" s="30">
      <c r="B7" s="33" t="inlineStr">
        <is>
          <t>API key</t>
        </is>
      </c>
      <c r="C7" s="34" t="inlineStr">
        <is>
          <t>Nunca se escribe en este libro, en memoria ni en archivos. Se da al inicio de cada sesión y se revoca si se pegó en un chat.</t>
        </is>
      </c>
    </row>
    <row r="8" ht="48" customHeight="1" s="30">
      <c r="B8" s="33" t="inlineStr">
        <is>
          <t>Revalidación</t>
        </is>
      </c>
      <c r="C8" s="34" t="inlineStr">
        <is>
          <t>Antes de aplicar, la skill vuelve a leer Odoo. Si el documento ya no está abierto o el importe cambió, la fila pasa a 'Revalidar' y no se aplica.</t>
        </is>
      </c>
    </row>
    <row r="9" ht="48" customHeight="1" s="30">
      <c r="B9" s="33" t="inlineStr">
        <is>
          <t>Prohibiciones</t>
        </is>
      </c>
      <c r="C9" s="34" t="inlineStr">
        <is>
          <t>No se borran asientos publicados, no se desconcilian pagos ya conciliados (genera reversiones de IVA en base de efectivo), no se ponen fechas de bloqueo y no se crean pagos que no estén aprobados.</t>
        </is>
      </c>
    </row>
    <row r="10" ht="48" customHeight="1" s="30">
      <c r="B10" s="33" t="inlineStr">
        <is>
          <t>Orden de reglas</t>
        </is>
      </c>
      <c r="C10" s="34" t="inlineStr">
        <is>
          <t>Las reglas de emparejamiento se aplican en el orden de 11_Catalogos (R01 a R14). Una propuesta de confianza Baja nunca se aplica sin comentario del usuario.</t>
        </is>
      </c>
    </row>
    <row r="11" ht="48" customHeight="1" s="30">
      <c r="B11" s="33" t="inlineStr">
        <is>
          <t>Prueba antes de lote</t>
        </is>
      </c>
      <c r="C11" s="34" t="inlineStr">
        <is>
          <t>Toda acción nueva se aplica primero a una sola fila, se verifica por API y en navegador, y después se aplica el resto.</t>
        </is>
      </c>
    </row>
    <row r="13" ht="15" customHeight="1" s="30">
      <c r="B13" s="33" t="inlineStr">
        <is>
          <t>Leyenda de color</t>
        </is>
      </c>
    </row>
    <row r="14" ht="15" customHeight="1" s="30">
      <c r="B14" s="35" t="inlineStr">
        <is>
          <t>Captura del usuario</t>
        </is>
      </c>
    </row>
    <row r="15" ht="15" customHeight="1" s="30">
      <c r="B15" s="36" t="inlineStr">
        <is>
          <t>Aprobación del usuario</t>
        </is>
      </c>
    </row>
    <row r="16" ht="15" customHeight="1" s="30">
      <c r="B16" s="37" t="inlineStr">
        <is>
          <t>Encabezado de la skill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4606C"/>
    <outlinePr summaryBelow="1" summaryRight="1"/>
    <pageSetUpPr fitToPage="0"/>
  </sheetPr>
  <dimension ref="A1:C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29" min="1" max="1"/>
    <col width="46" customWidth="1" style="29" min="2" max="2"/>
    <col width="60" customWidth="1" style="29" min="3" max="3"/>
  </cols>
  <sheetData>
    <row r="1" ht="19.7" customHeight="1" s="30">
      <c r="A1" s="31" t="inlineStr">
        <is>
          <t>Parámetros de la sesión</t>
        </is>
      </c>
    </row>
    <row r="2" ht="15" customHeight="1" s="30">
      <c r="A2" s="32" t="inlineStr">
        <is>
          <t>Los define cada usuario al iniciar. La API key no se captura aquí.</t>
        </is>
      </c>
    </row>
    <row r="4" ht="15" customHeight="1" s="30">
      <c r="A4" s="38" t="inlineStr">
        <is>
          <t>Parámetro</t>
        </is>
      </c>
      <c r="B4" s="38" t="inlineStr">
        <is>
          <t>Valor</t>
        </is>
      </c>
      <c r="C4" s="38" t="inlineStr">
        <is>
          <t>Validación que hace la skill</t>
        </is>
      </c>
    </row>
    <row r="5" ht="15" customHeight="1" s="30">
      <c r="A5" s="39" t="inlineStr">
        <is>
          <t>URL de Odoo</t>
        </is>
      </c>
      <c r="B5" s="40" t="inlineStr">
        <is>
          <t>https://empresa-demo.odoo.com</t>
        </is>
      </c>
      <c r="C5" s="41" t="inlineStr">
        <is>
          <t>Responde version() en /xmlrpc/2/common</t>
        </is>
      </c>
    </row>
    <row r="6" ht="15" customHeight="1" s="30">
      <c r="A6" s="39" t="inlineStr">
        <is>
          <t>Base de datos</t>
        </is>
      </c>
      <c r="B6" s="40" t="inlineStr">
        <is>
          <t>empresa-demo</t>
        </is>
      </c>
      <c r="C6" s="41" t="inlineStr">
        <is>
          <t>Debe coincidir con /web/database/list</t>
        </is>
      </c>
    </row>
    <row r="7" ht="15" customHeight="1" s="30">
      <c r="A7" s="39" t="inlineStr">
        <is>
          <t>Usuario</t>
        </is>
      </c>
      <c r="B7" s="40" t="inlineStr">
        <is>
          <t>usuario@mlrconsultores.com</t>
        </is>
      </c>
      <c r="C7" s="41" t="inlineStr">
        <is>
          <t>authenticate() regresa uid, no False</t>
        </is>
      </c>
    </row>
    <row r="8" ht="15" customHeight="1" s="30">
      <c r="A8" s="39" t="inlineStr">
        <is>
          <t>API key</t>
        </is>
      </c>
      <c r="B8" s="42" t="inlineStr">
        <is>
          <t>(no se captura)</t>
        </is>
      </c>
      <c r="C8" s="41" t="inlineStr">
        <is>
          <t>40 caracteres hexadecimales; se pide en la sesión</t>
        </is>
      </c>
    </row>
    <row r="9" ht="15" customHeight="1" s="30">
      <c r="A9" s="39" t="inlineStr">
        <is>
          <t>Compañía</t>
        </is>
      </c>
      <c r="B9" s="40" t="inlineStr">
        <is>
          <t>CLINICA DEMO TERAPIA</t>
        </is>
      </c>
      <c r="C9" s="41" t="inlineStr">
        <is>
          <t>ID de res.company; fijar en multiempresa</t>
        </is>
      </c>
    </row>
    <row r="10" ht="15" customHeight="1" s="30">
      <c r="A10" s="39" t="inlineStr">
        <is>
          <t>Diario a conciliar</t>
        </is>
      </c>
      <c r="B10" s="40" t="inlineStr">
        <is>
          <t>BBVA - 012180001000000011</t>
        </is>
      </c>
      <c r="C10" s="41" t="inlineStr">
        <is>
          <t>Tipo bank/cash/credit; se registra su ID</t>
        </is>
      </c>
    </row>
    <row r="11" ht="15" customHeight="1" s="30">
      <c r="A11" s="39" t="inlineStr">
        <is>
          <t>ID del diario</t>
        </is>
      </c>
      <c r="B11" s="40" t="n">
        <v>13</v>
      </c>
      <c r="C11" s="41" t="n"/>
    </row>
    <row r="12" ht="15" customHeight="1" s="30">
      <c r="A12" s="39" t="inlineStr">
        <is>
          <t>Periodo desde</t>
        </is>
      </c>
      <c r="B12" s="40" t="inlineStr">
        <is>
          <t>2026-09-01</t>
        </is>
      </c>
      <c r="C12" s="41" t="inlineStr">
        <is>
          <t>Formato AAAA-MM-DD</t>
        </is>
      </c>
    </row>
    <row r="13" ht="15" customHeight="1" s="30">
      <c r="A13" s="39" t="inlineStr">
        <is>
          <t>Periodo hasta</t>
        </is>
      </c>
      <c r="B13" s="40" t="inlineStr">
        <is>
          <t>2026-09-30</t>
        </is>
      </c>
      <c r="C13" s="41" t="inlineStr">
        <is>
          <t>Formato AAAA-MM-DD</t>
        </is>
      </c>
    </row>
    <row r="14" ht="15" customHeight="1" s="30">
      <c r="A14" s="39" t="inlineStr">
        <is>
          <t>Modo del diario</t>
        </is>
      </c>
      <c r="B14" s="40" t="inlineStr">
        <is>
          <t>Sin estado de cuenta (pagos manuales, conciliación al cierre)</t>
        </is>
      </c>
      <c r="C14" s="41" t="inlineStr">
        <is>
          <t>Con estado de cuenta / Sin estado de cuenta</t>
        </is>
      </c>
    </row>
    <row r="15" ht="15" customHeight="1" s="30">
      <c r="A15" s="39" t="inlineStr">
        <is>
          <t>Saldo inicial según banco</t>
        </is>
      </c>
      <c r="B15" s="43" t="n">
        <v>268916.07</v>
      </c>
      <c r="C15" s="41" t="inlineStr">
        <is>
          <t>Del PDF del estado de cuenta</t>
        </is>
      </c>
    </row>
    <row r="16" ht="15" customHeight="1" s="30">
      <c r="A16" s="39" t="inlineStr">
        <is>
          <t>Saldo final según banco</t>
        </is>
      </c>
      <c r="B16" s="43" t="n">
        <v>272595.38</v>
      </c>
      <c r="C16" s="41" t="inlineStr">
        <is>
          <t>Del PDF del estado de cuenta</t>
        </is>
      </c>
    </row>
    <row r="17" ht="15" customHeight="1" s="30">
      <c r="A17" s="39" t="inlineStr">
        <is>
          <t>Cuenta de suspenso</t>
        </is>
      </c>
      <c r="B17" s="40" t="inlineStr">
        <is>
          <t>102.01.02 Bank Suspense Account</t>
        </is>
      </c>
      <c r="C17" s="41" t="inlineStr">
        <is>
          <t>Leída del diario</t>
        </is>
      </c>
    </row>
    <row r="18" ht="15" customHeight="1" s="30">
      <c r="A18" s="39" t="inlineStr">
        <is>
          <t>Cuenta de comisiones bancarias</t>
        </is>
      </c>
      <c r="B18" s="40" t="inlineStr">
        <is>
          <t>701.10.01 Bank fees</t>
        </is>
      </c>
      <c r="C18" s="41" t="inlineStr">
        <is>
          <t>Aprobada por el usuario</t>
        </is>
      </c>
    </row>
    <row r="19" ht="15" customHeight="1" s="30">
      <c r="A19" s="39" t="inlineStr">
        <is>
          <t>Cuenta de IVA no acreditable / no deducibles</t>
        </is>
      </c>
      <c r="B19" s="40" t="inlineStr">
        <is>
          <t>601.83.01 Non-deductible Expenses</t>
        </is>
      </c>
      <c r="C19" s="41" t="inlineStr">
        <is>
          <t>IVA sin CFDI y compras sin CFDI</t>
        </is>
      </c>
    </row>
    <row r="20" ht="15" customHeight="1" s="30">
      <c r="A20" s="39" t="inlineStr">
        <is>
          <t>Cuenta de otros ingresos / redondeo a favor</t>
        </is>
      </c>
      <c r="B20" s="40" t="inlineStr">
        <is>
          <t>403.01.01 Other Income</t>
        </is>
      </c>
      <c r="C20" s="41" t="inlineStr">
        <is>
          <t>Depósitos no identificados, centavos</t>
        </is>
      </c>
    </row>
    <row r="21" ht="15" customHeight="1" s="30">
      <c r="A21" s="39" t="inlineStr">
        <is>
          <t>Cuenta de otros gastos / redondeo en contra</t>
        </is>
      </c>
      <c r="B21" s="40" t="inlineStr">
        <is>
          <t>601.84.01 Other overheads</t>
        </is>
      </c>
      <c r="C21" s="41" t="inlineStr">
        <is>
          <t>Centavos en contra</t>
        </is>
      </c>
    </row>
    <row r="22" ht="15" customHeight="1" s="30">
      <c r="A22" s="39" t="inlineStr">
        <is>
          <t>Cuenta de recargos fiscales</t>
        </is>
      </c>
      <c r="B22" s="40" t="inlineStr">
        <is>
          <t>601.84.04 Recargos y actualizaciones fiscales</t>
        </is>
      </c>
      <c r="C22" s="41" t="n"/>
    </row>
    <row r="23" ht="15" customHeight="1" s="30">
      <c r="A23" s="39" t="inlineStr">
        <is>
          <t>Cuenta de IVA a favor</t>
        </is>
      </c>
      <c r="B23" s="40" t="inlineStr">
        <is>
          <t>113.01.01 VAT credit</t>
        </is>
      </c>
      <c r="C23" s="41" t="n"/>
    </row>
    <row r="24" ht="15" customHeight="1" s="30">
      <c r="A24" s="39" t="inlineStr">
        <is>
          <t>Cuenta de IVA por pagar</t>
        </is>
      </c>
      <c r="B24" s="40" t="inlineStr">
        <is>
          <t>213.01.01 VAT payable</t>
        </is>
      </c>
      <c r="C24" s="41" t="n"/>
    </row>
    <row r="25" ht="15" customHeight="1" s="30">
      <c r="A25" s="39" t="inlineStr">
        <is>
          <t>Acreedor socio 1</t>
        </is>
      </c>
      <c r="B25" s="40" t="inlineStr">
        <is>
          <t>205.02.02 Acreedores diversos Socio 1</t>
        </is>
      </c>
      <c r="C25" s="41" t="inlineStr">
        <is>
          <t>Pagos con tarjetas personales y reembolsos</t>
        </is>
      </c>
    </row>
    <row r="26" ht="15" customHeight="1" s="30">
      <c r="A26" s="39" t="inlineStr">
        <is>
          <t>Acreedor socio 2</t>
        </is>
      </c>
      <c r="B26" s="40" t="inlineStr">
        <is>
          <t>205.02.03 Acreedores diversos Socio 2</t>
        </is>
      </c>
      <c r="C26" s="41" t="n"/>
    </row>
    <row r="27" ht="15" customHeight="1" s="30">
      <c r="A27" s="39" t="inlineStr">
        <is>
          <t>Tolerancia de centavos</t>
        </is>
      </c>
      <c r="B27" s="43" t="n">
        <v>1</v>
      </c>
      <c r="C27" s="41" t="inlineStr">
        <is>
          <t>Diferencia máxima que va a redondeo sin preguntar</t>
        </is>
      </c>
    </row>
    <row r="28" ht="15" customHeight="1" s="30">
      <c r="A28" s="39" t="inlineStr">
        <is>
          <t>Ventana de fechas (días)</t>
        </is>
      </c>
      <c r="B28" s="40" t="n">
        <v>3</v>
      </c>
      <c r="C28" s="41" t="inlineStr">
        <is>
          <t>Distancia máxima entre fecha de banco y fecha del documento</t>
        </is>
      </c>
    </row>
    <row r="29" ht="15" customHeight="1" s="30">
      <c r="A29" s="39" t="inlineStr">
        <is>
          <t>Responsable</t>
        </is>
      </c>
      <c r="B29" s="40" t="inlineStr">
        <is>
          <t>Responsable MLR</t>
        </is>
      </c>
      <c r="C29" s="4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24606C"/>
    <outlinePr summaryBelow="1" summaryRight="1"/>
    <pageSetUpPr fitToPage="0"/>
  </sheetPr>
  <dimension ref="A1:J6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9" min="1" max="1"/>
    <col width="16" customWidth="1" style="29" min="2" max="2"/>
    <col width="40" customWidth="1" style="29" min="3" max="4"/>
    <col width="11" customWidth="1" style="29" min="5" max="5"/>
    <col width="40" customWidth="1" style="29" min="6" max="6"/>
    <col width="11" customWidth="1" style="29" min="7" max="7"/>
    <col width="30" customWidth="1" style="29" min="8" max="8"/>
    <col width="12" customWidth="1" style="29" min="9" max="9"/>
    <col width="13" customWidth="1" style="29" min="10" max="10"/>
  </cols>
  <sheetData>
    <row r="1" ht="19.7" customHeight="1" s="30">
      <c r="A1" s="31" t="inlineStr">
        <is>
          <t>Diagnóstico del diario y de la base</t>
        </is>
      </c>
    </row>
    <row r="2" ht="15" customHeight="1" s="30">
      <c r="A2" s="32" t="inlineStr">
        <is>
          <t>Fase 0, solo lectura. Cada hallazgo requiere decisión antes de conciliar.</t>
        </is>
      </c>
    </row>
    <row r="4" ht="33.75" customHeight="1" s="30">
      <c r="A4" s="44" t="inlineStr">
        <is>
          <t>ID</t>
        </is>
      </c>
      <c r="B4" s="44" t="inlineStr">
        <is>
          <t>Área</t>
        </is>
      </c>
      <c r="C4" s="44" t="inlineStr">
        <is>
          <t>Hallazgo</t>
        </is>
      </c>
      <c r="D4" s="44" t="inlineStr">
        <is>
          <t>Evidencia (dato leído de Odoo)</t>
        </is>
      </c>
      <c r="E4" s="44" t="inlineStr">
        <is>
          <t>Severidad</t>
        </is>
      </c>
      <c r="F4" s="44" t="inlineStr">
        <is>
          <t>Propuesta</t>
        </is>
      </c>
      <c r="G4" s="45" t="inlineStr">
        <is>
          <t>Aprobado</t>
        </is>
      </c>
      <c r="H4" s="45" t="inlineStr">
        <is>
          <t>Comentario del usuario</t>
        </is>
      </c>
      <c r="I4" s="44" t="inlineStr">
        <is>
          <t>Estado</t>
        </is>
      </c>
      <c r="J4" s="44" t="inlineStr">
        <is>
          <t>Fecha aplicación</t>
        </is>
      </c>
    </row>
    <row r="5" ht="23.85" customHeight="1" s="30">
      <c r="A5" s="46" t="inlineStr">
        <is>
          <t>D01</t>
        </is>
      </c>
      <c r="B5" s="46" t="inlineStr">
        <is>
          <t>Impuestos</t>
        </is>
      </c>
      <c r="C5" s="46" t="inlineStr">
        <is>
          <t>El diario de base de efectivo es Caja chica</t>
        </is>
      </c>
      <c r="D5" s="46" t="inlineStr">
        <is>
          <t>res.company.tax_cash_basis_journal_id = 26 (Caja chica)</t>
        </is>
      </c>
      <c r="E5" s="46" t="inlineStr">
        <is>
          <t>Alta</t>
        </is>
      </c>
      <c r="F5" s="46" t="inlineStr">
        <is>
          <t>Cambiarlo al diario CABA (id 12)</t>
        </is>
      </c>
      <c r="G5" s="47" t="inlineStr">
        <is>
          <t>Sí</t>
        </is>
      </c>
      <c r="H5" s="47" t="n"/>
      <c r="I5" s="46" t="inlineStr">
        <is>
          <t>Aplicado</t>
        </is>
      </c>
      <c r="J5" s="46" t="inlineStr">
        <is>
          <t>2026-09-25</t>
        </is>
      </c>
    </row>
    <row r="6" ht="15" customHeight="1" s="30">
      <c r="A6" s="48" t="n"/>
      <c r="B6" s="48" t="n"/>
      <c r="C6" s="48" t="n"/>
      <c r="D6" s="48" t="n"/>
      <c r="E6" s="48" t="n"/>
      <c r="F6" s="48" t="n"/>
      <c r="G6" s="49" t="n"/>
      <c r="H6" s="49" t="n"/>
      <c r="I6" s="48" t="n"/>
      <c r="J6" s="48" t="n"/>
    </row>
    <row r="7" ht="15" customHeight="1" s="30">
      <c r="A7" s="48" t="n"/>
      <c r="B7" s="48" t="n"/>
      <c r="C7" s="48" t="n"/>
      <c r="D7" s="48" t="n"/>
      <c r="E7" s="48" t="n"/>
      <c r="F7" s="48" t="n"/>
      <c r="G7" s="49" t="n"/>
      <c r="H7" s="49" t="n"/>
      <c r="I7" s="48" t="n"/>
      <c r="J7" s="48" t="n"/>
    </row>
    <row r="8" ht="15" customHeight="1" s="30">
      <c r="A8" s="48" t="n"/>
      <c r="B8" s="48" t="n"/>
      <c r="C8" s="48" t="n"/>
      <c r="D8" s="48" t="n"/>
      <c r="E8" s="48" t="n"/>
      <c r="F8" s="48" t="n"/>
      <c r="G8" s="49" t="n"/>
      <c r="H8" s="49" t="n"/>
      <c r="I8" s="48" t="n"/>
      <c r="J8" s="48" t="n"/>
    </row>
    <row r="9" ht="15" customHeight="1" s="30">
      <c r="A9" s="48" t="n"/>
      <c r="B9" s="48" t="n"/>
      <c r="C9" s="48" t="n"/>
      <c r="D9" s="48" t="n"/>
      <c r="E9" s="48" t="n"/>
      <c r="F9" s="48" t="n"/>
      <c r="G9" s="49" t="n"/>
      <c r="H9" s="49" t="n"/>
      <c r="I9" s="48" t="n"/>
      <c r="J9" s="48" t="n"/>
    </row>
    <row r="10" ht="15" customHeight="1" s="30">
      <c r="A10" s="48" t="n"/>
      <c r="B10" s="48" t="n"/>
      <c r="C10" s="48" t="n"/>
      <c r="D10" s="48" t="n"/>
      <c r="E10" s="48" t="n"/>
      <c r="F10" s="48" t="n"/>
      <c r="G10" s="49" t="n"/>
      <c r="H10" s="49" t="n"/>
      <c r="I10" s="48" t="n"/>
      <c r="J10" s="48" t="n"/>
    </row>
    <row r="11" ht="15" customHeight="1" s="30">
      <c r="A11" s="48" t="n"/>
      <c r="B11" s="48" t="n"/>
      <c r="C11" s="48" t="n"/>
      <c r="D11" s="48" t="n"/>
      <c r="E11" s="48" t="n"/>
      <c r="F11" s="48" t="n"/>
      <c r="G11" s="49" t="n"/>
      <c r="H11" s="49" t="n"/>
      <c r="I11" s="48" t="n"/>
      <c r="J11" s="48" t="n"/>
    </row>
    <row r="12" ht="15" customHeight="1" s="30">
      <c r="A12" s="48" t="n"/>
      <c r="B12" s="48" t="n"/>
      <c r="C12" s="48" t="n"/>
      <c r="D12" s="48" t="n"/>
      <c r="E12" s="48" t="n"/>
      <c r="F12" s="48" t="n"/>
      <c r="G12" s="49" t="n"/>
      <c r="H12" s="49" t="n"/>
      <c r="I12" s="48" t="n"/>
      <c r="J12" s="48" t="n"/>
    </row>
    <row r="13" ht="15" customHeight="1" s="30">
      <c r="A13" s="48" t="n"/>
      <c r="B13" s="48" t="n"/>
      <c r="C13" s="48" t="n"/>
      <c r="D13" s="48" t="n"/>
      <c r="E13" s="48" t="n"/>
      <c r="F13" s="48" t="n"/>
      <c r="G13" s="49" t="n"/>
      <c r="H13" s="49" t="n"/>
      <c r="I13" s="48" t="n"/>
      <c r="J13" s="48" t="n"/>
    </row>
    <row r="14" ht="15" customHeight="1" s="30">
      <c r="A14" s="48" t="n"/>
      <c r="B14" s="48" t="n"/>
      <c r="C14" s="48" t="n"/>
      <c r="D14" s="48" t="n"/>
      <c r="E14" s="48" t="n"/>
      <c r="F14" s="48" t="n"/>
      <c r="G14" s="49" t="n"/>
      <c r="H14" s="49" t="n"/>
      <c r="I14" s="48" t="n"/>
      <c r="J14" s="48" t="n"/>
    </row>
    <row r="15" ht="15" customHeight="1" s="30">
      <c r="A15" s="48" t="n"/>
      <c r="B15" s="48" t="n"/>
      <c r="C15" s="48" t="n"/>
      <c r="D15" s="48" t="n"/>
      <c r="E15" s="48" t="n"/>
      <c r="F15" s="48" t="n"/>
      <c r="G15" s="49" t="n"/>
      <c r="H15" s="49" t="n"/>
      <c r="I15" s="48" t="n"/>
      <c r="J15" s="48" t="n"/>
    </row>
    <row r="16" ht="15" customHeight="1" s="30">
      <c r="A16" s="48" t="n"/>
      <c r="B16" s="48" t="n"/>
      <c r="C16" s="48" t="n"/>
      <c r="D16" s="48" t="n"/>
      <c r="E16" s="48" t="n"/>
      <c r="F16" s="48" t="n"/>
      <c r="G16" s="49" t="n"/>
      <c r="H16" s="49" t="n"/>
      <c r="I16" s="48" t="n"/>
      <c r="J16" s="48" t="n"/>
    </row>
    <row r="17" ht="15" customHeight="1" s="30">
      <c r="A17" s="48" t="n"/>
      <c r="B17" s="48" t="n"/>
      <c r="C17" s="48" t="n"/>
      <c r="D17" s="48" t="n"/>
      <c r="E17" s="48" t="n"/>
      <c r="F17" s="48" t="n"/>
      <c r="G17" s="49" t="n"/>
      <c r="H17" s="49" t="n"/>
      <c r="I17" s="48" t="n"/>
      <c r="J17" s="48" t="n"/>
    </row>
    <row r="18" ht="15" customHeight="1" s="30">
      <c r="A18" s="48" t="n"/>
      <c r="B18" s="48" t="n"/>
      <c r="C18" s="48" t="n"/>
      <c r="D18" s="48" t="n"/>
      <c r="E18" s="48" t="n"/>
      <c r="F18" s="48" t="n"/>
      <c r="G18" s="49" t="n"/>
      <c r="H18" s="49" t="n"/>
      <c r="I18" s="48" t="n"/>
      <c r="J18" s="48" t="n"/>
    </row>
    <row r="19" ht="15" customHeight="1" s="30">
      <c r="A19" s="48" t="n"/>
      <c r="B19" s="48" t="n"/>
      <c r="C19" s="48" t="n"/>
      <c r="D19" s="48" t="n"/>
      <c r="E19" s="48" t="n"/>
      <c r="F19" s="48" t="n"/>
      <c r="G19" s="49" t="n"/>
      <c r="H19" s="49" t="n"/>
      <c r="I19" s="48" t="n"/>
      <c r="J19" s="48" t="n"/>
    </row>
    <row r="20" ht="15" customHeight="1" s="30">
      <c r="A20" s="48" t="n"/>
      <c r="B20" s="48" t="n"/>
      <c r="C20" s="48" t="n"/>
      <c r="D20" s="48" t="n"/>
      <c r="E20" s="48" t="n"/>
      <c r="F20" s="48" t="n"/>
      <c r="G20" s="49" t="n"/>
      <c r="H20" s="49" t="n"/>
      <c r="I20" s="48" t="n"/>
      <c r="J20" s="48" t="n"/>
    </row>
    <row r="21" ht="15" customHeight="1" s="30">
      <c r="A21" s="48" t="n"/>
      <c r="B21" s="48" t="n"/>
      <c r="C21" s="48" t="n"/>
      <c r="D21" s="48" t="n"/>
      <c r="E21" s="48" t="n"/>
      <c r="F21" s="48" t="n"/>
      <c r="G21" s="49" t="n"/>
      <c r="H21" s="49" t="n"/>
      <c r="I21" s="48" t="n"/>
      <c r="J21" s="48" t="n"/>
    </row>
    <row r="22" ht="15" customHeight="1" s="30">
      <c r="A22" s="48" t="n"/>
      <c r="B22" s="48" t="n"/>
      <c r="C22" s="48" t="n"/>
      <c r="D22" s="48" t="n"/>
      <c r="E22" s="48" t="n"/>
      <c r="F22" s="48" t="n"/>
      <c r="G22" s="49" t="n"/>
      <c r="H22" s="49" t="n"/>
      <c r="I22" s="48" t="n"/>
      <c r="J22" s="48" t="n"/>
    </row>
    <row r="23" ht="15" customHeight="1" s="30">
      <c r="A23" s="48" t="n"/>
      <c r="B23" s="48" t="n"/>
      <c r="C23" s="48" t="n"/>
      <c r="D23" s="48" t="n"/>
      <c r="E23" s="48" t="n"/>
      <c r="F23" s="48" t="n"/>
      <c r="G23" s="49" t="n"/>
      <c r="H23" s="49" t="n"/>
      <c r="I23" s="48" t="n"/>
      <c r="J23" s="48" t="n"/>
    </row>
    <row r="24" ht="15" customHeight="1" s="30">
      <c r="A24" s="48" t="n"/>
      <c r="B24" s="48" t="n"/>
      <c r="C24" s="48" t="n"/>
      <c r="D24" s="48" t="n"/>
      <c r="E24" s="48" t="n"/>
      <c r="F24" s="48" t="n"/>
      <c r="G24" s="49" t="n"/>
      <c r="H24" s="49" t="n"/>
      <c r="I24" s="48" t="n"/>
      <c r="J24" s="48" t="n"/>
    </row>
    <row r="25" ht="15" customHeight="1" s="30">
      <c r="A25" s="48" t="n"/>
      <c r="B25" s="48" t="n"/>
      <c r="C25" s="48" t="n"/>
      <c r="D25" s="48" t="n"/>
      <c r="E25" s="48" t="n"/>
      <c r="F25" s="48" t="n"/>
      <c r="G25" s="49" t="n"/>
      <c r="H25" s="49" t="n"/>
      <c r="I25" s="48" t="n"/>
      <c r="J25" s="48" t="n"/>
    </row>
    <row r="26" ht="15" customHeight="1" s="30">
      <c r="A26" s="48" t="n"/>
      <c r="B26" s="48" t="n"/>
      <c r="C26" s="48" t="n"/>
      <c r="D26" s="48" t="n"/>
      <c r="E26" s="48" t="n"/>
      <c r="F26" s="48" t="n"/>
      <c r="G26" s="49" t="n"/>
      <c r="H26" s="49" t="n"/>
      <c r="I26" s="48" t="n"/>
      <c r="J26" s="48" t="n"/>
    </row>
    <row r="27" ht="15" customHeight="1" s="30">
      <c r="A27" s="48" t="n"/>
      <c r="B27" s="48" t="n"/>
      <c r="C27" s="48" t="n"/>
      <c r="D27" s="48" t="n"/>
      <c r="E27" s="48" t="n"/>
      <c r="F27" s="48" t="n"/>
      <c r="G27" s="49" t="n"/>
      <c r="H27" s="49" t="n"/>
      <c r="I27" s="48" t="n"/>
      <c r="J27" s="48" t="n"/>
    </row>
    <row r="28" ht="15" customHeight="1" s="30">
      <c r="A28" s="48" t="n"/>
      <c r="B28" s="48" t="n"/>
      <c r="C28" s="48" t="n"/>
      <c r="D28" s="48" t="n"/>
      <c r="E28" s="48" t="n"/>
      <c r="F28" s="48" t="n"/>
      <c r="G28" s="49" t="n"/>
      <c r="H28" s="49" t="n"/>
      <c r="I28" s="48" t="n"/>
      <c r="J28" s="48" t="n"/>
    </row>
    <row r="29" ht="15" customHeight="1" s="30">
      <c r="A29" s="48" t="n"/>
      <c r="B29" s="48" t="n"/>
      <c r="C29" s="48" t="n"/>
      <c r="D29" s="48" t="n"/>
      <c r="E29" s="48" t="n"/>
      <c r="F29" s="48" t="n"/>
      <c r="G29" s="49" t="n"/>
      <c r="H29" s="49" t="n"/>
      <c r="I29" s="48" t="n"/>
      <c r="J29" s="48" t="n"/>
    </row>
    <row r="30" ht="15" customHeight="1" s="30">
      <c r="A30" s="48" t="n"/>
      <c r="B30" s="48" t="n"/>
      <c r="C30" s="48" t="n"/>
      <c r="D30" s="48" t="n"/>
      <c r="E30" s="48" t="n"/>
      <c r="F30" s="48" t="n"/>
      <c r="G30" s="49" t="n"/>
      <c r="H30" s="49" t="n"/>
      <c r="I30" s="48" t="n"/>
      <c r="J30" s="48" t="n"/>
    </row>
    <row r="31" ht="15" customHeight="1" s="30">
      <c r="A31" s="48" t="n"/>
      <c r="B31" s="48" t="n"/>
      <c r="C31" s="48" t="n"/>
      <c r="D31" s="48" t="n"/>
      <c r="E31" s="48" t="n"/>
      <c r="F31" s="48" t="n"/>
      <c r="G31" s="49" t="n"/>
      <c r="H31" s="49" t="n"/>
      <c r="I31" s="48" t="n"/>
      <c r="J31" s="48" t="n"/>
    </row>
    <row r="32" ht="15" customHeight="1" s="30">
      <c r="A32" s="48" t="n"/>
      <c r="B32" s="48" t="n"/>
      <c r="C32" s="48" t="n"/>
      <c r="D32" s="48" t="n"/>
      <c r="E32" s="48" t="n"/>
      <c r="F32" s="48" t="n"/>
      <c r="G32" s="49" t="n"/>
      <c r="H32" s="49" t="n"/>
      <c r="I32" s="48" t="n"/>
      <c r="J32" s="48" t="n"/>
    </row>
    <row r="33" ht="15" customHeight="1" s="30">
      <c r="A33" s="48" t="n"/>
      <c r="B33" s="48" t="n"/>
      <c r="C33" s="48" t="n"/>
      <c r="D33" s="48" t="n"/>
      <c r="E33" s="48" t="n"/>
      <c r="F33" s="48" t="n"/>
      <c r="G33" s="49" t="n"/>
      <c r="H33" s="49" t="n"/>
      <c r="I33" s="48" t="n"/>
      <c r="J33" s="48" t="n"/>
    </row>
    <row r="34" ht="15" customHeight="1" s="30">
      <c r="A34" s="48" t="n"/>
      <c r="B34" s="48" t="n"/>
      <c r="C34" s="48" t="n"/>
      <c r="D34" s="48" t="n"/>
      <c r="E34" s="48" t="n"/>
      <c r="F34" s="48" t="n"/>
      <c r="G34" s="49" t="n"/>
      <c r="H34" s="49" t="n"/>
      <c r="I34" s="48" t="n"/>
      <c r="J34" s="48" t="n"/>
    </row>
    <row r="35" ht="15" customHeight="1" s="30">
      <c r="A35" s="48" t="n"/>
      <c r="B35" s="48" t="n"/>
      <c r="C35" s="48" t="n"/>
      <c r="D35" s="48" t="n"/>
      <c r="E35" s="48" t="n"/>
      <c r="F35" s="48" t="n"/>
      <c r="G35" s="49" t="n"/>
      <c r="H35" s="49" t="n"/>
      <c r="I35" s="48" t="n"/>
      <c r="J35" s="48" t="n"/>
    </row>
    <row r="36" ht="15" customHeight="1" s="30">
      <c r="A36" s="48" t="n"/>
      <c r="B36" s="48" t="n"/>
      <c r="C36" s="48" t="n"/>
      <c r="D36" s="48" t="n"/>
      <c r="E36" s="48" t="n"/>
      <c r="F36" s="48" t="n"/>
      <c r="G36" s="49" t="n"/>
      <c r="H36" s="49" t="n"/>
      <c r="I36" s="48" t="n"/>
      <c r="J36" s="48" t="n"/>
    </row>
    <row r="37" ht="15" customHeight="1" s="30">
      <c r="A37" s="48" t="n"/>
      <c r="B37" s="48" t="n"/>
      <c r="C37" s="48" t="n"/>
      <c r="D37" s="48" t="n"/>
      <c r="E37" s="48" t="n"/>
      <c r="F37" s="48" t="n"/>
      <c r="G37" s="49" t="n"/>
      <c r="H37" s="49" t="n"/>
      <c r="I37" s="48" t="n"/>
      <c r="J37" s="48" t="n"/>
    </row>
    <row r="38" ht="15" customHeight="1" s="30">
      <c r="A38" s="48" t="n"/>
      <c r="B38" s="48" t="n"/>
      <c r="C38" s="48" t="n"/>
      <c r="D38" s="48" t="n"/>
      <c r="E38" s="48" t="n"/>
      <c r="F38" s="48" t="n"/>
      <c r="G38" s="49" t="n"/>
      <c r="H38" s="49" t="n"/>
      <c r="I38" s="48" t="n"/>
      <c r="J38" s="48" t="n"/>
    </row>
    <row r="39" ht="15" customHeight="1" s="30">
      <c r="A39" s="48" t="n"/>
      <c r="B39" s="48" t="n"/>
      <c r="C39" s="48" t="n"/>
      <c r="D39" s="48" t="n"/>
      <c r="E39" s="48" t="n"/>
      <c r="F39" s="48" t="n"/>
      <c r="G39" s="49" t="n"/>
      <c r="H39" s="49" t="n"/>
      <c r="I39" s="48" t="n"/>
      <c r="J39" s="48" t="n"/>
    </row>
    <row r="40" ht="15" customHeight="1" s="30">
      <c r="A40" s="48" t="n"/>
      <c r="B40" s="48" t="n"/>
      <c r="C40" s="48" t="n"/>
      <c r="D40" s="48" t="n"/>
      <c r="E40" s="48" t="n"/>
      <c r="F40" s="48" t="n"/>
      <c r="G40" s="49" t="n"/>
      <c r="H40" s="49" t="n"/>
      <c r="I40" s="48" t="n"/>
      <c r="J40" s="48" t="n"/>
    </row>
    <row r="41" ht="15" customHeight="1" s="30">
      <c r="A41" s="48" t="n"/>
      <c r="B41" s="48" t="n"/>
      <c r="C41" s="48" t="n"/>
      <c r="D41" s="48" t="n"/>
      <c r="E41" s="48" t="n"/>
      <c r="F41" s="48" t="n"/>
      <c r="G41" s="49" t="n"/>
      <c r="H41" s="49" t="n"/>
      <c r="I41" s="48" t="n"/>
      <c r="J41" s="48" t="n"/>
    </row>
    <row r="42" ht="15" customHeight="1" s="30">
      <c r="A42" s="48" t="n"/>
      <c r="B42" s="48" t="n"/>
      <c r="C42" s="48" t="n"/>
      <c r="D42" s="48" t="n"/>
      <c r="E42" s="48" t="n"/>
      <c r="F42" s="48" t="n"/>
      <c r="G42" s="49" t="n"/>
      <c r="H42" s="49" t="n"/>
      <c r="I42" s="48" t="n"/>
      <c r="J42" s="48" t="n"/>
    </row>
    <row r="43" ht="15" customHeight="1" s="30">
      <c r="A43" s="48" t="n"/>
      <c r="B43" s="48" t="n"/>
      <c r="C43" s="48" t="n"/>
      <c r="D43" s="48" t="n"/>
      <c r="E43" s="48" t="n"/>
      <c r="F43" s="48" t="n"/>
      <c r="G43" s="49" t="n"/>
      <c r="H43" s="49" t="n"/>
      <c r="I43" s="48" t="n"/>
      <c r="J43" s="48" t="n"/>
    </row>
    <row r="44" ht="15" customHeight="1" s="30">
      <c r="A44" s="48" t="n"/>
      <c r="B44" s="48" t="n"/>
      <c r="C44" s="48" t="n"/>
      <c r="D44" s="48" t="n"/>
      <c r="E44" s="48" t="n"/>
      <c r="F44" s="48" t="n"/>
      <c r="G44" s="49" t="n"/>
      <c r="H44" s="49" t="n"/>
      <c r="I44" s="48" t="n"/>
      <c r="J44" s="48" t="n"/>
    </row>
    <row r="45" ht="15" customHeight="1" s="30">
      <c r="A45" s="48" t="n"/>
      <c r="B45" s="48" t="n"/>
      <c r="C45" s="48" t="n"/>
      <c r="D45" s="48" t="n"/>
      <c r="E45" s="48" t="n"/>
      <c r="F45" s="48" t="n"/>
      <c r="G45" s="49" t="n"/>
      <c r="H45" s="49" t="n"/>
      <c r="I45" s="48" t="n"/>
      <c r="J45" s="48" t="n"/>
    </row>
    <row r="46" ht="15" customHeight="1" s="30">
      <c r="A46" s="48" t="n"/>
      <c r="B46" s="48" t="n"/>
      <c r="C46" s="48" t="n"/>
      <c r="D46" s="48" t="n"/>
      <c r="E46" s="48" t="n"/>
      <c r="F46" s="48" t="n"/>
      <c r="G46" s="49" t="n"/>
      <c r="H46" s="49" t="n"/>
      <c r="I46" s="48" t="n"/>
      <c r="J46" s="48" t="n"/>
    </row>
    <row r="47" ht="15" customHeight="1" s="30">
      <c r="A47" s="48" t="n"/>
      <c r="B47" s="48" t="n"/>
      <c r="C47" s="48" t="n"/>
      <c r="D47" s="48" t="n"/>
      <c r="E47" s="48" t="n"/>
      <c r="F47" s="48" t="n"/>
      <c r="G47" s="49" t="n"/>
      <c r="H47" s="49" t="n"/>
      <c r="I47" s="48" t="n"/>
      <c r="J47" s="48" t="n"/>
    </row>
    <row r="48" ht="15" customHeight="1" s="30">
      <c r="A48" s="48" t="n"/>
      <c r="B48" s="48" t="n"/>
      <c r="C48" s="48" t="n"/>
      <c r="D48" s="48" t="n"/>
      <c r="E48" s="48" t="n"/>
      <c r="F48" s="48" t="n"/>
      <c r="G48" s="49" t="n"/>
      <c r="H48" s="49" t="n"/>
      <c r="I48" s="48" t="n"/>
      <c r="J48" s="48" t="n"/>
    </row>
    <row r="49" ht="15" customHeight="1" s="30">
      <c r="A49" s="48" t="n"/>
      <c r="B49" s="48" t="n"/>
      <c r="C49" s="48" t="n"/>
      <c r="D49" s="48" t="n"/>
      <c r="E49" s="48" t="n"/>
      <c r="F49" s="48" t="n"/>
      <c r="G49" s="49" t="n"/>
      <c r="H49" s="49" t="n"/>
      <c r="I49" s="48" t="n"/>
      <c r="J49" s="48" t="n"/>
    </row>
    <row r="50" ht="15" customHeight="1" s="30">
      <c r="A50" s="48" t="n"/>
      <c r="B50" s="48" t="n"/>
      <c r="C50" s="48" t="n"/>
      <c r="D50" s="48" t="n"/>
      <c r="E50" s="48" t="n"/>
      <c r="F50" s="48" t="n"/>
      <c r="G50" s="49" t="n"/>
      <c r="H50" s="49" t="n"/>
      <c r="I50" s="48" t="n"/>
      <c r="J50" s="48" t="n"/>
    </row>
    <row r="51" ht="15" customHeight="1" s="30">
      <c r="A51" s="48" t="n"/>
      <c r="B51" s="48" t="n"/>
      <c r="C51" s="48" t="n"/>
      <c r="D51" s="48" t="n"/>
      <c r="E51" s="48" t="n"/>
      <c r="F51" s="48" t="n"/>
      <c r="G51" s="49" t="n"/>
      <c r="H51" s="49" t="n"/>
      <c r="I51" s="48" t="n"/>
      <c r="J51" s="48" t="n"/>
    </row>
    <row r="52" ht="15" customHeight="1" s="30">
      <c r="A52" s="48" t="n"/>
      <c r="B52" s="48" t="n"/>
      <c r="C52" s="48" t="n"/>
      <c r="D52" s="48" t="n"/>
      <c r="E52" s="48" t="n"/>
      <c r="F52" s="48" t="n"/>
      <c r="G52" s="49" t="n"/>
      <c r="H52" s="49" t="n"/>
      <c r="I52" s="48" t="n"/>
      <c r="J52" s="48" t="n"/>
    </row>
    <row r="53" ht="15" customHeight="1" s="30">
      <c r="A53" s="48" t="n"/>
      <c r="B53" s="48" t="n"/>
      <c r="C53" s="48" t="n"/>
      <c r="D53" s="48" t="n"/>
      <c r="E53" s="48" t="n"/>
      <c r="F53" s="48" t="n"/>
      <c r="G53" s="49" t="n"/>
      <c r="H53" s="49" t="n"/>
      <c r="I53" s="48" t="n"/>
      <c r="J53" s="48" t="n"/>
    </row>
    <row r="54" ht="15" customHeight="1" s="30">
      <c r="A54" s="48" t="n"/>
      <c r="B54" s="48" t="n"/>
      <c r="C54" s="48" t="n"/>
      <c r="D54" s="48" t="n"/>
      <c r="E54" s="48" t="n"/>
      <c r="F54" s="48" t="n"/>
      <c r="G54" s="49" t="n"/>
      <c r="H54" s="49" t="n"/>
      <c r="I54" s="48" t="n"/>
      <c r="J54" s="48" t="n"/>
    </row>
    <row r="55" ht="15" customHeight="1" s="30">
      <c r="A55" s="48" t="n"/>
      <c r="B55" s="48" t="n"/>
      <c r="C55" s="48" t="n"/>
      <c r="D55" s="48" t="n"/>
      <c r="E55" s="48" t="n"/>
      <c r="F55" s="48" t="n"/>
      <c r="G55" s="49" t="n"/>
      <c r="H55" s="49" t="n"/>
      <c r="I55" s="48" t="n"/>
      <c r="J55" s="48" t="n"/>
    </row>
    <row r="56" ht="15" customHeight="1" s="30">
      <c r="A56" s="48" t="n"/>
      <c r="B56" s="48" t="n"/>
      <c r="C56" s="48" t="n"/>
      <c r="D56" s="48" t="n"/>
      <c r="E56" s="48" t="n"/>
      <c r="F56" s="48" t="n"/>
      <c r="G56" s="49" t="n"/>
      <c r="H56" s="49" t="n"/>
      <c r="I56" s="48" t="n"/>
      <c r="J56" s="48" t="n"/>
    </row>
    <row r="57" ht="15" customHeight="1" s="30">
      <c r="A57" s="48" t="n"/>
      <c r="B57" s="48" t="n"/>
      <c r="C57" s="48" t="n"/>
      <c r="D57" s="48" t="n"/>
      <c r="E57" s="48" t="n"/>
      <c r="F57" s="48" t="n"/>
      <c r="G57" s="49" t="n"/>
      <c r="H57" s="49" t="n"/>
      <c r="I57" s="48" t="n"/>
      <c r="J57" s="48" t="n"/>
    </row>
    <row r="58" ht="15" customHeight="1" s="30">
      <c r="A58" s="48" t="n"/>
      <c r="B58" s="48" t="n"/>
      <c r="C58" s="48" t="n"/>
      <c r="D58" s="48" t="n"/>
      <c r="E58" s="48" t="n"/>
      <c r="F58" s="48" t="n"/>
      <c r="G58" s="49" t="n"/>
      <c r="H58" s="49" t="n"/>
      <c r="I58" s="48" t="n"/>
      <c r="J58" s="48" t="n"/>
    </row>
    <row r="59" ht="15" customHeight="1" s="30">
      <c r="A59" s="48" t="n"/>
      <c r="B59" s="48" t="n"/>
      <c r="C59" s="48" t="n"/>
      <c r="D59" s="48" t="n"/>
      <c r="E59" s="48" t="n"/>
      <c r="F59" s="48" t="n"/>
      <c r="G59" s="49" t="n"/>
      <c r="H59" s="49" t="n"/>
      <c r="I59" s="48" t="n"/>
      <c r="J59" s="48" t="n"/>
    </row>
    <row r="60" ht="15" customHeight="1" s="30">
      <c r="A60" s="48" t="n"/>
      <c r="B60" s="48" t="n"/>
      <c r="C60" s="48" t="n"/>
      <c r="D60" s="48" t="n"/>
      <c r="E60" s="48" t="n"/>
      <c r="F60" s="48" t="n"/>
      <c r="G60" s="49" t="n"/>
      <c r="H60" s="49" t="n"/>
      <c r="I60" s="48" t="n"/>
      <c r="J60" s="48" t="n"/>
    </row>
    <row r="61" ht="15" customHeight="1" s="30">
      <c r="A61" s="48" t="n"/>
      <c r="B61" s="48" t="n"/>
      <c r="C61" s="48" t="n"/>
      <c r="D61" s="48" t="n"/>
      <c r="E61" s="48" t="n"/>
      <c r="F61" s="48" t="n"/>
      <c r="G61" s="49" t="n"/>
      <c r="H61" s="49" t="n"/>
      <c r="I61" s="48" t="n"/>
      <c r="J61" s="48" t="n"/>
    </row>
    <row r="62" ht="15" customHeight="1" s="30">
      <c r="A62" s="48" t="n"/>
      <c r="B62" s="48" t="n"/>
      <c r="C62" s="48" t="n"/>
      <c r="D62" s="48" t="n"/>
      <c r="E62" s="48" t="n"/>
      <c r="F62" s="48" t="n"/>
      <c r="G62" s="49" t="n"/>
      <c r="H62" s="49" t="n"/>
      <c r="I62" s="48" t="n"/>
      <c r="J62" s="48" t="n"/>
    </row>
    <row r="63" ht="15" customHeight="1" s="30">
      <c r="A63" s="48" t="n"/>
      <c r="B63" s="48" t="n"/>
      <c r="C63" s="48" t="n"/>
      <c r="D63" s="48" t="n"/>
      <c r="E63" s="48" t="n"/>
      <c r="F63" s="48" t="n"/>
      <c r="G63" s="49" t="n"/>
      <c r="H63" s="49" t="n"/>
      <c r="I63" s="48" t="n"/>
      <c r="J63" s="48" t="n"/>
    </row>
    <row r="64" ht="15" customHeight="1" s="30">
      <c r="A64" s="48" t="n"/>
      <c r="B64" s="48" t="n"/>
      <c r="C64" s="48" t="n"/>
      <c r="D64" s="48" t="n"/>
      <c r="E64" s="48" t="n"/>
      <c r="F64" s="48" t="n"/>
      <c r="G64" s="49" t="n"/>
      <c r="H64" s="49" t="n"/>
      <c r="I64" s="48" t="n"/>
      <c r="J64" s="48" t="n"/>
    </row>
  </sheetData>
  <autoFilter ref="A4:J64"/>
  <dataValidations count="3">
    <dataValidation sqref="E5:E64" showDropDown="0" showInputMessage="0" showErrorMessage="0" allowBlank="1" type="list" errorStyle="stop" operator="between">
      <formula1>"Alta,Media,Baja"</formula1>
      <formula2>0</formula2>
    </dataValidation>
    <dataValidation sqref="G5:G64" showDropDown="0" showInputMessage="0" showErrorMessage="0" allowBlank="1" type="list" errorStyle="stop" operator="between">
      <formula1>"Sí,No,Modificar"</formula1>
      <formula2>0</formula2>
    </dataValidation>
    <dataValidation sqref="I5:I64" showDropDown="0" showInputMessage="0" showErrorMessage="0" allowBlank="1" type="list" errorStyle="stop" operator="between">
      <formula1>"Pendiente,Aplicado,Error,Revalidar"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tabColor rgb="FF24606C"/>
    <outlinePr summaryBelow="1" summaryRight="1"/>
    <pageSetUpPr fitToPage="0"/>
  </sheetPr>
  <dimension ref="A1:N6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9" min="1" max="1"/>
    <col width="11" customWidth="1" style="29" min="2" max="2"/>
    <col width="8" customWidth="1" style="29" min="3" max="3"/>
    <col width="44" customWidth="1" style="29" min="4" max="4"/>
    <col width="18" customWidth="1" style="29" min="5" max="5"/>
    <col width="15" customWidth="1" style="29" min="6" max="6"/>
    <col width="13" customWidth="1" style="29" min="7" max="9"/>
    <col width="14" customWidth="1" style="29" min="10" max="11"/>
    <col width="12" customWidth="1" style="29" min="12" max="12"/>
    <col width="11" customWidth="1" style="29" min="13" max="13"/>
    <col width="14" customWidth="1" style="29" min="14" max="14"/>
  </cols>
  <sheetData>
    <row r="1" ht="19.7" customHeight="1" s="30">
      <c r="A1" s="31" t="inlineStr">
        <is>
          <t>Movimientos del estado de cuenta</t>
        </is>
      </c>
    </row>
    <row r="2" ht="15" customHeight="1" s="30">
      <c r="A2" s="32" t="inlineStr">
        <is>
          <t>Normalizados desde PDF o Excel del banco. Abono positivo, cargo negativo.</t>
        </is>
      </c>
    </row>
    <row r="4" ht="33.75" customHeight="1" s="30">
      <c r="A4" s="44" t="inlineStr">
        <is>
          <t>ID mov.</t>
        </is>
      </c>
      <c r="B4" s="44" t="inlineStr">
        <is>
          <t>Fecha</t>
        </is>
      </c>
      <c r="C4" s="44" t="inlineStr">
        <is>
          <t>Código</t>
        </is>
      </c>
      <c r="D4" s="44" t="inlineStr">
        <is>
          <t>Concepto original</t>
        </is>
      </c>
      <c r="E4" s="44" t="inlineStr">
        <is>
          <t>Referencia</t>
        </is>
      </c>
      <c r="F4" s="44" t="inlineStr">
        <is>
          <t>RFC detectado</t>
        </is>
      </c>
      <c r="G4" s="44" t="inlineStr">
        <is>
          <t>Abono</t>
        </is>
      </c>
      <c r="H4" s="44" t="inlineStr">
        <is>
          <t>Cargo</t>
        </is>
      </c>
      <c r="I4" s="44" t="inlineStr">
        <is>
          <t>Importe neto</t>
        </is>
      </c>
      <c r="J4" s="44" t="inlineStr">
        <is>
          <t>Saldo según banco</t>
        </is>
      </c>
      <c r="K4" s="44" t="inlineStr">
        <is>
          <t>Saldo calculado</t>
        </is>
      </c>
      <c r="L4" s="44" t="inlineStr">
        <is>
          <t>Diferencia de saldo</t>
        </is>
      </c>
      <c r="M4" s="44" t="inlineStr">
        <is>
          <t>ID línea Odoo</t>
        </is>
      </c>
      <c r="N4" s="44" t="inlineStr">
        <is>
          <t>Estado en Odoo</t>
        </is>
      </c>
    </row>
    <row r="5" ht="23.85" customHeight="1" s="30">
      <c r="A5" s="46" t="inlineStr">
        <is>
          <t>M001</t>
        </is>
      </c>
      <c r="B5" s="50" t="n">
        <v>46254</v>
      </c>
      <c r="C5" s="46" t="inlineStr">
        <is>
          <t>K08</t>
        </is>
      </c>
      <c r="D5" s="46" t="inlineStr">
        <is>
          <t>K08 GRUPO NACIONAL PROVI08437 027384219335 Ref. GNP921124 4P0</t>
        </is>
      </c>
      <c r="E5" s="46" t="inlineStr">
        <is>
          <t>027384219335</t>
        </is>
      </c>
      <c r="F5" s="46" t="inlineStr">
        <is>
          <t>GNP9211244P0</t>
        </is>
      </c>
      <c r="G5" s="51" t="n"/>
      <c r="H5" s="52" t="n">
        <v>521.42</v>
      </c>
      <c r="I5" s="51">
        <f>G5-H5</f>
        <v/>
      </c>
      <c r="J5" s="51" t="n"/>
      <c r="K5" s="51">
        <f>00_Parametros!B15+I5</f>
        <v/>
      </c>
      <c r="L5" s="51">
        <f>IF(J5="","",ROUND(J5-K5,2))</f>
        <v/>
      </c>
      <c r="M5" s="46" t="n">
        <v>441</v>
      </c>
      <c r="N5" s="46" t="inlineStr">
        <is>
          <t>Conciliado</t>
        </is>
      </c>
    </row>
    <row r="6" ht="15" customHeight="1" s="30">
      <c r="A6" s="48" t="n"/>
      <c r="B6" s="53" t="n"/>
      <c r="C6" s="48" t="n"/>
      <c r="D6" s="48" t="n"/>
      <c r="E6" s="48" t="n"/>
      <c r="F6" s="48" t="n"/>
      <c r="G6" s="51" t="n"/>
      <c r="H6" s="51" t="n"/>
      <c r="I6" s="51">
        <f>IF(AND(G6="",H6=""),"",G6-H6)</f>
        <v/>
      </c>
      <c r="J6" s="51" t="n"/>
      <c r="K6" s="51">
        <f>IF(I6="","",K5+I6)</f>
        <v/>
      </c>
      <c r="L6" s="51">
        <f>IF(OR(J6="",K6=""),"",ROUND(J6-K6,2))</f>
        <v/>
      </c>
      <c r="M6" s="48" t="n"/>
      <c r="N6" s="48" t="n"/>
    </row>
    <row r="7" ht="15" customHeight="1" s="30">
      <c r="A7" s="48" t="n"/>
      <c r="B7" s="53" t="n"/>
      <c r="C7" s="48" t="n"/>
      <c r="D7" s="48" t="n"/>
      <c r="E7" s="48" t="n"/>
      <c r="F7" s="48" t="n"/>
      <c r="G7" s="51" t="n"/>
      <c r="H7" s="51" t="n"/>
      <c r="I7" s="51">
        <f>IF(AND(G7="",H7=""),"",G7-H7)</f>
        <v/>
      </c>
      <c r="J7" s="51" t="n"/>
      <c r="K7" s="51">
        <f>IF(I7="","",K6+I7)</f>
        <v/>
      </c>
      <c r="L7" s="51">
        <f>IF(OR(J7="",K7=""),"",ROUND(J7-K7,2))</f>
        <v/>
      </c>
      <c r="M7" s="48" t="n"/>
      <c r="N7" s="48" t="n"/>
    </row>
    <row r="8" ht="15" customHeight="1" s="30">
      <c r="A8" s="48" t="n"/>
      <c r="B8" s="53" t="n"/>
      <c r="C8" s="48" t="n"/>
      <c r="D8" s="48" t="n"/>
      <c r="E8" s="48" t="n"/>
      <c r="F8" s="48" t="n"/>
      <c r="G8" s="51" t="n"/>
      <c r="H8" s="51" t="n"/>
      <c r="I8" s="51">
        <f>IF(AND(G8="",H8=""),"",G8-H8)</f>
        <v/>
      </c>
      <c r="J8" s="51" t="n"/>
      <c r="K8" s="51">
        <f>IF(I8="","",K7+I8)</f>
        <v/>
      </c>
      <c r="L8" s="51">
        <f>IF(OR(J8="",K8=""),"",ROUND(J8-K8,2))</f>
        <v/>
      </c>
      <c r="M8" s="48" t="n"/>
      <c r="N8" s="48" t="n"/>
    </row>
    <row r="9" ht="15" customHeight="1" s="30">
      <c r="A9" s="48" t="n"/>
      <c r="B9" s="53" t="n"/>
      <c r="C9" s="48" t="n"/>
      <c r="D9" s="48" t="n"/>
      <c r="E9" s="48" t="n"/>
      <c r="F9" s="48" t="n"/>
      <c r="G9" s="51" t="n"/>
      <c r="H9" s="51" t="n"/>
      <c r="I9" s="51">
        <f>IF(AND(G9="",H9=""),"",G9-H9)</f>
        <v/>
      </c>
      <c r="J9" s="51" t="n"/>
      <c r="K9" s="51">
        <f>IF(I9="","",K8+I9)</f>
        <v/>
      </c>
      <c r="L9" s="51">
        <f>IF(OR(J9="",K9=""),"",ROUND(J9-K9,2))</f>
        <v/>
      </c>
      <c r="M9" s="48" t="n"/>
      <c r="N9" s="48" t="n"/>
    </row>
    <row r="10" ht="15" customHeight="1" s="30">
      <c r="A10" s="48" t="n"/>
      <c r="B10" s="53" t="n"/>
      <c r="C10" s="48" t="n"/>
      <c r="D10" s="48" t="n"/>
      <c r="E10" s="48" t="n"/>
      <c r="F10" s="48" t="n"/>
      <c r="G10" s="51" t="n"/>
      <c r="H10" s="51" t="n"/>
      <c r="I10" s="51">
        <f>IF(AND(G10="",H10=""),"",G10-H10)</f>
        <v/>
      </c>
      <c r="J10" s="51" t="n"/>
      <c r="K10" s="51">
        <f>IF(I10="","",K9+I10)</f>
        <v/>
      </c>
      <c r="L10" s="51">
        <f>IF(OR(J10="",K10=""),"",ROUND(J10-K10,2))</f>
        <v/>
      </c>
      <c r="M10" s="48" t="n"/>
      <c r="N10" s="48" t="n"/>
    </row>
    <row r="11" ht="15" customHeight="1" s="30">
      <c r="A11" s="48" t="n"/>
      <c r="B11" s="53" t="n"/>
      <c r="C11" s="48" t="n"/>
      <c r="D11" s="48" t="n"/>
      <c r="E11" s="48" t="n"/>
      <c r="F11" s="48" t="n"/>
      <c r="G11" s="51" t="n"/>
      <c r="H11" s="51" t="n"/>
      <c r="I11" s="51">
        <f>IF(AND(G11="",H11=""),"",G11-H11)</f>
        <v/>
      </c>
      <c r="J11" s="51" t="n"/>
      <c r="K11" s="51">
        <f>IF(I11="","",K10+I11)</f>
        <v/>
      </c>
      <c r="L11" s="51">
        <f>IF(OR(J11="",K11=""),"",ROUND(J11-K11,2))</f>
        <v/>
      </c>
      <c r="M11" s="48" t="n"/>
      <c r="N11" s="48" t="n"/>
    </row>
    <row r="12" ht="15" customHeight="1" s="30">
      <c r="A12" s="48" t="n"/>
      <c r="B12" s="53" t="n"/>
      <c r="C12" s="48" t="n"/>
      <c r="D12" s="48" t="n"/>
      <c r="E12" s="48" t="n"/>
      <c r="F12" s="48" t="n"/>
      <c r="G12" s="51" t="n"/>
      <c r="H12" s="51" t="n"/>
      <c r="I12" s="51">
        <f>IF(AND(G12="",H12=""),"",G12-H12)</f>
        <v/>
      </c>
      <c r="J12" s="51" t="n"/>
      <c r="K12" s="51">
        <f>IF(I12="","",K11+I12)</f>
        <v/>
      </c>
      <c r="L12" s="51">
        <f>IF(OR(J12="",K12=""),"",ROUND(J12-K12,2))</f>
        <v/>
      </c>
      <c r="M12" s="48" t="n"/>
      <c r="N12" s="48" t="n"/>
    </row>
    <row r="13" ht="15" customHeight="1" s="30">
      <c r="A13" s="48" t="n"/>
      <c r="B13" s="53" t="n"/>
      <c r="C13" s="48" t="n"/>
      <c r="D13" s="48" t="n"/>
      <c r="E13" s="48" t="n"/>
      <c r="F13" s="48" t="n"/>
      <c r="G13" s="51" t="n"/>
      <c r="H13" s="51" t="n"/>
      <c r="I13" s="51">
        <f>IF(AND(G13="",H13=""),"",G13-H13)</f>
        <v/>
      </c>
      <c r="J13" s="51" t="n"/>
      <c r="K13" s="51">
        <f>IF(I13="","",K12+I13)</f>
        <v/>
      </c>
      <c r="L13" s="51">
        <f>IF(OR(J13="",K13=""),"",ROUND(J13-K13,2))</f>
        <v/>
      </c>
      <c r="M13" s="48" t="n"/>
      <c r="N13" s="48" t="n"/>
    </row>
    <row r="14" ht="15" customHeight="1" s="30">
      <c r="A14" s="48" t="n"/>
      <c r="B14" s="53" t="n"/>
      <c r="C14" s="48" t="n"/>
      <c r="D14" s="48" t="n"/>
      <c r="E14" s="48" t="n"/>
      <c r="F14" s="48" t="n"/>
      <c r="G14" s="51" t="n"/>
      <c r="H14" s="51" t="n"/>
      <c r="I14" s="51">
        <f>IF(AND(G14="",H14=""),"",G14-H14)</f>
        <v/>
      </c>
      <c r="J14" s="51" t="n"/>
      <c r="K14" s="51">
        <f>IF(I14="","",K13+I14)</f>
        <v/>
      </c>
      <c r="L14" s="51">
        <f>IF(OR(J14="",K14=""),"",ROUND(J14-K14,2))</f>
        <v/>
      </c>
      <c r="M14" s="48" t="n"/>
      <c r="N14" s="48" t="n"/>
    </row>
    <row r="15" ht="15" customHeight="1" s="30">
      <c r="A15" s="48" t="n"/>
      <c r="B15" s="53" t="n"/>
      <c r="C15" s="48" t="n"/>
      <c r="D15" s="48" t="n"/>
      <c r="E15" s="48" t="n"/>
      <c r="F15" s="48" t="n"/>
      <c r="G15" s="51" t="n"/>
      <c r="H15" s="51" t="n"/>
      <c r="I15" s="51">
        <f>IF(AND(G15="",H15=""),"",G15-H15)</f>
        <v/>
      </c>
      <c r="J15" s="51" t="n"/>
      <c r="K15" s="51">
        <f>IF(I15="","",K14+I15)</f>
        <v/>
      </c>
      <c r="L15" s="51">
        <f>IF(OR(J15="",K15=""),"",ROUND(J15-K15,2))</f>
        <v/>
      </c>
      <c r="M15" s="48" t="n"/>
      <c r="N15" s="48" t="n"/>
    </row>
    <row r="16" ht="15" customHeight="1" s="30">
      <c r="A16" s="48" t="n"/>
      <c r="B16" s="53" t="n"/>
      <c r="C16" s="48" t="n"/>
      <c r="D16" s="48" t="n"/>
      <c r="E16" s="48" t="n"/>
      <c r="F16" s="48" t="n"/>
      <c r="G16" s="51" t="n"/>
      <c r="H16" s="51" t="n"/>
      <c r="I16" s="51">
        <f>IF(AND(G16="",H16=""),"",G16-H16)</f>
        <v/>
      </c>
      <c r="J16" s="51" t="n"/>
      <c r="K16" s="51">
        <f>IF(I16="","",K15+I16)</f>
        <v/>
      </c>
      <c r="L16" s="51">
        <f>IF(OR(J16="",K16=""),"",ROUND(J16-K16,2))</f>
        <v/>
      </c>
      <c r="M16" s="48" t="n"/>
      <c r="N16" s="48" t="n"/>
    </row>
    <row r="17" ht="15" customHeight="1" s="30">
      <c r="A17" s="48" t="n"/>
      <c r="B17" s="53" t="n"/>
      <c r="C17" s="48" t="n"/>
      <c r="D17" s="48" t="n"/>
      <c r="E17" s="48" t="n"/>
      <c r="F17" s="48" t="n"/>
      <c r="G17" s="51" t="n"/>
      <c r="H17" s="51" t="n"/>
      <c r="I17" s="51">
        <f>IF(AND(G17="",H17=""),"",G17-H17)</f>
        <v/>
      </c>
      <c r="J17" s="51" t="n"/>
      <c r="K17" s="51">
        <f>IF(I17="","",K16+I17)</f>
        <v/>
      </c>
      <c r="L17" s="51">
        <f>IF(OR(J17="",K17=""),"",ROUND(J17-K17,2))</f>
        <v/>
      </c>
      <c r="M17" s="48" t="n"/>
      <c r="N17" s="48" t="n"/>
    </row>
    <row r="18" ht="15" customHeight="1" s="30">
      <c r="A18" s="48" t="n"/>
      <c r="B18" s="53" t="n"/>
      <c r="C18" s="48" t="n"/>
      <c r="D18" s="48" t="n"/>
      <c r="E18" s="48" t="n"/>
      <c r="F18" s="48" t="n"/>
      <c r="G18" s="51" t="n"/>
      <c r="H18" s="51" t="n"/>
      <c r="I18" s="51">
        <f>IF(AND(G18="",H18=""),"",G18-H18)</f>
        <v/>
      </c>
      <c r="J18" s="51" t="n"/>
      <c r="K18" s="51">
        <f>IF(I18="","",K17+I18)</f>
        <v/>
      </c>
      <c r="L18" s="51">
        <f>IF(OR(J18="",K18=""),"",ROUND(J18-K18,2))</f>
        <v/>
      </c>
      <c r="M18" s="48" t="n"/>
      <c r="N18" s="48" t="n"/>
    </row>
    <row r="19" ht="15" customHeight="1" s="30">
      <c r="A19" s="48" t="n"/>
      <c r="B19" s="53" t="n"/>
      <c r="C19" s="48" t="n"/>
      <c r="D19" s="48" t="n"/>
      <c r="E19" s="48" t="n"/>
      <c r="F19" s="48" t="n"/>
      <c r="G19" s="51" t="n"/>
      <c r="H19" s="51" t="n"/>
      <c r="I19" s="51">
        <f>IF(AND(G19="",H19=""),"",G19-H19)</f>
        <v/>
      </c>
      <c r="J19" s="51" t="n"/>
      <c r="K19" s="51">
        <f>IF(I19="","",K18+I19)</f>
        <v/>
      </c>
      <c r="L19" s="51">
        <f>IF(OR(J19="",K19=""),"",ROUND(J19-K19,2))</f>
        <v/>
      </c>
      <c r="M19" s="48" t="n"/>
      <c r="N19" s="48" t="n"/>
    </row>
    <row r="20" ht="15" customHeight="1" s="30">
      <c r="A20" s="48" t="n"/>
      <c r="B20" s="53" t="n"/>
      <c r="C20" s="48" t="n"/>
      <c r="D20" s="48" t="n"/>
      <c r="E20" s="48" t="n"/>
      <c r="F20" s="48" t="n"/>
      <c r="G20" s="51" t="n"/>
      <c r="H20" s="51" t="n"/>
      <c r="I20" s="51">
        <f>IF(AND(G20="",H20=""),"",G20-H20)</f>
        <v/>
      </c>
      <c r="J20" s="51" t="n"/>
      <c r="K20" s="51">
        <f>IF(I20="","",K19+I20)</f>
        <v/>
      </c>
      <c r="L20" s="51">
        <f>IF(OR(J20="",K20=""),"",ROUND(J20-K20,2))</f>
        <v/>
      </c>
      <c r="M20" s="48" t="n"/>
      <c r="N20" s="48" t="n"/>
    </row>
    <row r="21" ht="15" customHeight="1" s="30">
      <c r="A21" s="48" t="n"/>
      <c r="B21" s="53" t="n"/>
      <c r="C21" s="48" t="n"/>
      <c r="D21" s="48" t="n"/>
      <c r="E21" s="48" t="n"/>
      <c r="F21" s="48" t="n"/>
      <c r="G21" s="51" t="n"/>
      <c r="H21" s="51" t="n"/>
      <c r="I21" s="51">
        <f>IF(AND(G21="",H21=""),"",G21-H21)</f>
        <v/>
      </c>
      <c r="J21" s="51" t="n"/>
      <c r="K21" s="51">
        <f>IF(I21="","",K20+I21)</f>
        <v/>
      </c>
      <c r="L21" s="51">
        <f>IF(OR(J21="",K21=""),"",ROUND(J21-K21,2))</f>
        <v/>
      </c>
      <c r="M21" s="48" t="n"/>
      <c r="N21" s="48" t="n"/>
    </row>
    <row r="22" ht="15" customHeight="1" s="30">
      <c r="A22" s="48" t="n"/>
      <c r="B22" s="53" t="n"/>
      <c r="C22" s="48" t="n"/>
      <c r="D22" s="48" t="n"/>
      <c r="E22" s="48" t="n"/>
      <c r="F22" s="48" t="n"/>
      <c r="G22" s="51" t="n"/>
      <c r="H22" s="51" t="n"/>
      <c r="I22" s="51">
        <f>IF(AND(G22="",H22=""),"",G22-H22)</f>
        <v/>
      </c>
      <c r="J22" s="51" t="n"/>
      <c r="K22" s="51">
        <f>IF(I22="","",K21+I22)</f>
        <v/>
      </c>
      <c r="L22" s="51">
        <f>IF(OR(J22="",K22=""),"",ROUND(J22-K22,2))</f>
        <v/>
      </c>
      <c r="M22" s="48" t="n"/>
      <c r="N22" s="48" t="n"/>
    </row>
    <row r="23" ht="15" customHeight="1" s="30">
      <c r="A23" s="48" t="n"/>
      <c r="B23" s="53" t="n"/>
      <c r="C23" s="48" t="n"/>
      <c r="D23" s="48" t="n"/>
      <c r="E23" s="48" t="n"/>
      <c r="F23" s="48" t="n"/>
      <c r="G23" s="51" t="n"/>
      <c r="H23" s="51" t="n"/>
      <c r="I23" s="51">
        <f>IF(AND(G23="",H23=""),"",G23-H23)</f>
        <v/>
      </c>
      <c r="J23" s="51" t="n"/>
      <c r="K23" s="51">
        <f>IF(I23="","",K22+I23)</f>
        <v/>
      </c>
      <c r="L23" s="51">
        <f>IF(OR(J23="",K23=""),"",ROUND(J23-K23,2))</f>
        <v/>
      </c>
      <c r="M23" s="48" t="n"/>
      <c r="N23" s="48" t="n"/>
    </row>
    <row r="24" ht="15" customHeight="1" s="30">
      <c r="A24" s="48" t="n"/>
      <c r="B24" s="53" t="n"/>
      <c r="C24" s="48" t="n"/>
      <c r="D24" s="48" t="n"/>
      <c r="E24" s="48" t="n"/>
      <c r="F24" s="48" t="n"/>
      <c r="G24" s="51" t="n"/>
      <c r="H24" s="51" t="n"/>
      <c r="I24" s="51">
        <f>IF(AND(G24="",H24=""),"",G24-H24)</f>
        <v/>
      </c>
      <c r="J24" s="51" t="n"/>
      <c r="K24" s="51">
        <f>IF(I24="","",K23+I24)</f>
        <v/>
      </c>
      <c r="L24" s="51">
        <f>IF(OR(J24="",K24=""),"",ROUND(J24-K24,2))</f>
        <v/>
      </c>
      <c r="M24" s="48" t="n"/>
      <c r="N24" s="48" t="n"/>
    </row>
    <row r="25" ht="15" customHeight="1" s="30">
      <c r="A25" s="48" t="n"/>
      <c r="B25" s="53" t="n"/>
      <c r="C25" s="48" t="n"/>
      <c r="D25" s="48" t="n"/>
      <c r="E25" s="48" t="n"/>
      <c r="F25" s="48" t="n"/>
      <c r="G25" s="51" t="n"/>
      <c r="H25" s="51" t="n"/>
      <c r="I25" s="51">
        <f>IF(AND(G25="",H25=""),"",G25-H25)</f>
        <v/>
      </c>
      <c r="J25" s="51" t="n"/>
      <c r="K25" s="51">
        <f>IF(I25="","",K24+I25)</f>
        <v/>
      </c>
      <c r="L25" s="51">
        <f>IF(OR(J25="",K25=""),"",ROUND(J25-K25,2))</f>
        <v/>
      </c>
      <c r="M25" s="48" t="n"/>
      <c r="N25" s="48" t="n"/>
    </row>
    <row r="26" ht="15" customHeight="1" s="30">
      <c r="A26" s="48" t="n"/>
      <c r="B26" s="53" t="n"/>
      <c r="C26" s="48" t="n"/>
      <c r="D26" s="48" t="n"/>
      <c r="E26" s="48" t="n"/>
      <c r="F26" s="48" t="n"/>
      <c r="G26" s="51" t="n"/>
      <c r="H26" s="51" t="n"/>
      <c r="I26" s="51">
        <f>IF(AND(G26="",H26=""),"",G26-H26)</f>
        <v/>
      </c>
      <c r="J26" s="51" t="n"/>
      <c r="K26" s="51">
        <f>IF(I26="","",K25+I26)</f>
        <v/>
      </c>
      <c r="L26" s="51">
        <f>IF(OR(J26="",K26=""),"",ROUND(J26-K26,2))</f>
        <v/>
      </c>
      <c r="M26" s="48" t="n"/>
      <c r="N26" s="48" t="n"/>
    </row>
    <row r="27" ht="15" customHeight="1" s="30">
      <c r="A27" s="48" t="n"/>
      <c r="B27" s="53" t="n"/>
      <c r="C27" s="48" t="n"/>
      <c r="D27" s="48" t="n"/>
      <c r="E27" s="48" t="n"/>
      <c r="F27" s="48" t="n"/>
      <c r="G27" s="51" t="n"/>
      <c r="H27" s="51" t="n"/>
      <c r="I27" s="51">
        <f>IF(AND(G27="",H27=""),"",G27-H27)</f>
        <v/>
      </c>
      <c r="J27" s="51" t="n"/>
      <c r="K27" s="51">
        <f>IF(I27="","",K26+I27)</f>
        <v/>
      </c>
      <c r="L27" s="51">
        <f>IF(OR(J27="",K27=""),"",ROUND(J27-K27,2))</f>
        <v/>
      </c>
      <c r="M27" s="48" t="n"/>
      <c r="N27" s="48" t="n"/>
    </row>
    <row r="28" ht="15" customHeight="1" s="30">
      <c r="A28" s="48" t="n"/>
      <c r="B28" s="53" t="n"/>
      <c r="C28" s="48" t="n"/>
      <c r="D28" s="48" t="n"/>
      <c r="E28" s="48" t="n"/>
      <c r="F28" s="48" t="n"/>
      <c r="G28" s="51" t="n"/>
      <c r="H28" s="51" t="n"/>
      <c r="I28" s="51">
        <f>IF(AND(G28="",H28=""),"",G28-H28)</f>
        <v/>
      </c>
      <c r="J28" s="51" t="n"/>
      <c r="K28" s="51">
        <f>IF(I28="","",K27+I28)</f>
        <v/>
      </c>
      <c r="L28" s="51">
        <f>IF(OR(J28="",K28=""),"",ROUND(J28-K28,2))</f>
        <v/>
      </c>
      <c r="M28" s="48" t="n"/>
      <c r="N28" s="48" t="n"/>
    </row>
    <row r="29" ht="15" customHeight="1" s="30">
      <c r="A29" s="48" t="n"/>
      <c r="B29" s="53" t="n"/>
      <c r="C29" s="48" t="n"/>
      <c r="D29" s="48" t="n"/>
      <c r="E29" s="48" t="n"/>
      <c r="F29" s="48" t="n"/>
      <c r="G29" s="51" t="n"/>
      <c r="H29" s="51" t="n"/>
      <c r="I29" s="51">
        <f>IF(AND(G29="",H29=""),"",G29-H29)</f>
        <v/>
      </c>
      <c r="J29" s="51" t="n"/>
      <c r="K29" s="51">
        <f>IF(I29="","",K28+I29)</f>
        <v/>
      </c>
      <c r="L29" s="51">
        <f>IF(OR(J29="",K29=""),"",ROUND(J29-K29,2))</f>
        <v/>
      </c>
      <c r="M29" s="48" t="n"/>
      <c r="N29" s="48" t="n"/>
    </row>
    <row r="30" ht="15" customHeight="1" s="30">
      <c r="A30" s="48" t="n"/>
      <c r="B30" s="53" t="n"/>
      <c r="C30" s="48" t="n"/>
      <c r="D30" s="48" t="n"/>
      <c r="E30" s="48" t="n"/>
      <c r="F30" s="48" t="n"/>
      <c r="G30" s="51" t="n"/>
      <c r="H30" s="51" t="n"/>
      <c r="I30" s="51">
        <f>IF(AND(G30="",H30=""),"",G30-H30)</f>
        <v/>
      </c>
      <c r="J30" s="51" t="n"/>
      <c r="K30" s="51">
        <f>IF(I30="","",K29+I30)</f>
        <v/>
      </c>
      <c r="L30" s="51">
        <f>IF(OR(J30="",K30=""),"",ROUND(J30-K30,2))</f>
        <v/>
      </c>
      <c r="M30" s="48" t="n"/>
      <c r="N30" s="48" t="n"/>
    </row>
    <row r="31" ht="15" customHeight="1" s="30">
      <c r="A31" s="48" t="n"/>
      <c r="B31" s="53" t="n"/>
      <c r="C31" s="48" t="n"/>
      <c r="D31" s="48" t="n"/>
      <c r="E31" s="48" t="n"/>
      <c r="F31" s="48" t="n"/>
      <c r="G31" s="51" t="n"/>
      <c r="H31" s="51" t="n"/>
      <c r="I31" s="51">
        <f>IF(AND(G31="",H31=""),"",G31-H31)</f>
        <v/>
      </c>
      <c r="J31" s="51" t="n"/>
      <c r="K31" s="51">
        <f>IF(I31="","",K30+I31)</f>
        <v/>
      </c>
      <c r="L31" s="51">
        <f>IF(OR(J31="",K31=""),"",ROUND(J31-K31,2))</f>
        <v/>
      </c>
      <c r="M31" s="48" t="n"/>
      <c r="N31" s="48" t="n"/>
    </row>
    <row r="32" ht="15" customHeight="1" s="30">
      <c r="A32" s="48" t="n"/>
      <c r="B32" s="53" t="n"/>
      <c r="C32" s="48" t="n"/>
      <c r="D32" s="48" t="n"/>
      <c r="E32" s="48" t="n"/>
      <c r="F32" s="48" t="n"/>
      <c r="G32" s="51" t="n"/>
      <c r="H32" s="51" t="n"/>
      <c r="I32" s="51">
        <f>IF(AND(G32="",H32=""),"",G32-H32)</f>
        <v/>
      </c>
      <c r="J32" s="51" t="n"/>
      <c r="K32" s="51">
        <f>IF(I32="","",K31+I32)</f>
        <v/>
      </c>
      <c r="L32" s="51">
        <f>IF(OR(J32="",K32=""),"",ROUND(J32-K32,2))</f>
        <v/>
      </c>
      <c r="M32" s="48" t="n"/>
      <c r="N32" s="48" t="n"/>
    </row>
    <row r="33" ht="15" customHeight="1" s="30">
      <c r="A33" s="48" t="n"/>
      <c r="B33" s="53" t="n"/>
      <c r="C33" s="48" t="n"/>
      <c r="D33" s="48" t="n"/>
      <c r="E33" s="48" t="n"/>
      <c r="F33" s="48" t="n"/>
      <c r="G33" s="51" t="n"/>
      <c r="H33" s="51" t="n"/>
      <c r="I33" s="51">
        <f>IF(AND(G33="",H33=""),"",G33-H33)</f>
        <v/>
      </c>
      <c r="J33" s="51" t="n"/>
      <c r="K33" s="51">
        <f>IF(I33="","",K32+I33)</f>
        <v/>
      </c>
      <c r="L33" s="51">
        <f>IF(OR(J33="",K33=""),"",ROUND(J33-K33,2))</f>
        <v/>
      </c>
      <c r="M33" s="48" t="n"/>
      <c r="N33" s="48" t="n"/>
    </row>
    <row r="34" ht="15" customHeight="1" s="30">
      <c r="A34" s="48" t="n"/>
      <c r="B34" s="53" t="n"/>
      <c r="C34" s="48" t="n"/>
      <c r="D34" s="48" t="n"/>
      <c r="E34" s="48" t="n"/>
      <c r="F34" s="48" t="n"/>
      <c r="G34" s="51" t="n"/>
      <c r="H34" s="51" t="n"/>
      <c r="I34" s="51">
        <f>IF(AND(G34="",H34=""),"",G34-H34)</f>
        <v/>
      </c>
      <c r="J34" s="51" t="n"/>
      <c r="K34" s="51">
        <f>IF(I34="","",K33+I34)</f>
        <v/>
      </c>
      <c r="L34" s="51">
        <f>IF(OR(J34="",K34=""),"",ROUND(J34-K34,2))</f>
        <v/>
      </c>
      <c r="M34" s="48" t="n"/>
      <c r="N34" s="48" t="n"/>
    </row>
    <row r="35" ht="15" customHeight="1" s="30">
      <c r="A35" s="48" t="n"/>
      <c r="B35" s="53" t="n"/>
      <c r="C35" s="48" t="n"/>
      <c r="D35" s="48" t="n"/>
      <c r="E35" s="48" t="n"/>
      <c r="F35" s="48" t="n"/>
      <c r="G35" s="51" t="n"/>
      <c r="H35" s="51" t="n"/>
      <c r="I35" s="51">
        <f>IF(AND(G35="",H35=""),"",G35-H35)</f>
        <v/>
      </c>
      <c r="J35" s="51" t="n"/>
      <c r="K35" s="51">
        <f>IF(I35="","",K34+I35)</f>
        <v/>
      </c>
      <c r="L35" s="51">
        <f>IF(OR(J35="",K35=""),"",ROUND(J35-K35,2))</f>
        <v/>
      </c>
      <c r="M35" s="48" t="n"/>
      <c r="N35" s="48" t="n"/>
    </row>
    <row r="36" ht="15" customHeight="1" s="30">
      <c r="A36" s="48" t="n"/>
      <c r="B36" s="53" t="n"/>
      <c r="C36" s="48" t="n"/>
      <c r="D36" s="48" t="n"/>
      <c r="E36" s="48" t="n"/>
      <c r="F36" s="48" t="n"/>
      <c r="G36" s="51" t="n"/>
      <c r="H36" s="51" t="n"/>
      <c r="I36" s="51">
        <f>IF(AND(G36="",H36=""),"",G36-H36)</f>
        <v/>
      </c>
      <c r="J36" s="51" t="n"/>
      <c r="K36" s="51">
        <f>IF(I36="","",K35+I36)</f>
        <v/>
      </c>
      <c r="L36" s="51">
        <f>IF(OR(J36="",K36=""),"",ROUND(J36-K36,2))</f>
        <v/>
      </c>
      <c r="M36" s="48" t="n"/>
      <c r="N36" s="48" t="n"/>
    </row>
    <row r="37" ht="15" customHeight="1" s="30">
      <c r="A37" s="48" t="n"/>
      <c r="B37" s="53" t="n"/>
      <c r="C37" s="48" t="n"/>
      <c r="D37" s="48" t="n"/>
      <c r="E37" s="48" t="n"/>
      <c r="F37" s="48" t="n"/>
      <c r="G37" s="51" t="n"/>
      <c r="H37" s="51" t="n"/>
      <c r="I37" s="51">
        <f>IF(AND(G37="",H37=""),"",G37-H37)</f>
        <v/>
      </c>
      <c r="J37" s="51" t="n"/>
      <c r="K37" s="51">
        <f>IF(I37="","",K36+I37)</f>
        <v/>
      </c>
      <c r="L37" s="51">
        <f>IF(OR(J37="",K37=""),"",ROUND(J37-K37,2))</f>
        <v/>
      </c>
      <c r="M37" s="48" t="n"/>
      <c r="N37" s="48" t="n"/>
    </row>
    <row r="38" ht="15" customHeight="1" s="30">
      <c r="A38" s="48" t="n"/>
      <c r="B38" s="53" t="n"/>
      <c r="C38" s="48" t="n"/>
      <c r="D38" s="48" t="n"/>
      <c r="E38" s="48" t="n"/>
      <c r="F38" s="48" t="n"/>
      <c r="G38" s="51" t="n"/>
      <c r="H38" s="51" t="n"/>
      <c r="I38" s="51">
        <f>IF(AND(G38="",H38=""),"",G38-H38)</f>
        <v/>
      </c>
      <c r="J38" s="51" t="n"/>
      <c r="K38" s="51">
        <f>IF(I38="","",K37+I38)</f>
        <v/>
      </c>
      <c r="L38" s="51">
        <f>IF(OR(J38="",K38=""),"",ROUND(J38-K38,2))</f>
        <v/>
      </c>
      <c r="M38" s="48" t="n"/>
      <c r="N38" s="48" t="n"/>
    </row>
    <row r="39" ht="15" customHeight="1" s="30">
      <c r="A39" s="48" t="n"/>
      <c r="B39" s="53" t="n"/>
      <c r="C39" s="48" t="n"/>
      <c r="D39" s="48" t="n"/>
      <c r="E39" s="48" t="n"/>
      <c r="F39" s="48" t="n"/>
      <c r="G39" s="51" t="n"/>
      <c r="H39" s="51" t="n"/>
      <c r="I39" s="51">
        <f>IF(AND(G39="",H39=""),"",G39-H39)</f>
        <v/>
      </c>
      <c r="J39" s="51" t="n"/>
      <c r="K39" s="51">
        <f>IF(I39="","",K38+I39)</f>
        <v/>
      </c>
      <c r="L39" s="51">
        <f>IF(OR(J39="",K39=""),"",ROUND(J39-K39,2))</f>
        <v/>
      </c>
      <c r="M39" s="48" t="n"/>
      <c r="N39" s="48" t="n"/>
    </row>
    <row r="40" ht="15" customHeight="1" s="30">
      <c r="A40" s="48" t="n"/>
      <c r="B40" s="53" t="n"/>
      <c r="C40" s="48" t="n"/>
      <c r="D40" s="48" t="n"/>
      <c r="E40" s="48" t="n"/>
      <c r="F40" s="48" t="n"/>
      <c r="G40" s="51" t="n"/>
      <c r="H40" s="51" t="n"/>
      <c r="I40" s="51">
        <f>IF(AND(G40="",H40=""),"",G40-H40)</f>
        <v/>
      </c>
      <c r="J40" s="51" t="n"/>
      <c r="K40" s="51">
        <f>IF(I40="","",K39+I40)</f>
        <v/>
      </c>
      <c r="L40" s="51">
        <f>IF(OR(J40="",K40=""),"",ROUND(J40-K40,2))</f>
        <v/>
      </c>
      <c r="M40" s="48" t="n"/>
      <c r="N40" s="48" t="n"/>
    </row>
    <row r="41" ht="15" customHeight="1" s="30">
      <c r="A41" s="48" t="n"/>
      <c r="B41" s="53" t="n"/>
      <c r="C41" s="48" t="n"/>
      <c r="D41" s="48" t="n"/>
      <c r="E41" s="48" t="n"/>
      <c r="F41" s="48" t="n"/>
      <c r="G41" s="51" t="n"/>
      <c r="H41" s="51" t="n"/>
      <c r="I41" s="51">
        <f>IF(AND(G41="",H41=""),"",G41-H41)</f>
        <v/>
      </c>
      <c r="J41" s="51" t="n"/>
      <c r="K41" s="51">
        <f>IF(I41="","",K40+I41)</f>
        <v/>
      </c>
      <c r="L41" s="51">
        <f>IF(OR(J41="",K41=""),"",ROUND(J41-K41,2))</f>
        <v/>
      </c>
      <c r="M41" s="48" t="n"/>
      <c r="N41" s="48" t="n"/>
    </row>
    <row r="42" ht="15" customHeight="1" s="30">
      <c r="A42" s="48" t="n"/>
      <c r="B42" s="53" t="n"/>
      <c r="C42" s="48" t="n"/>
      <c r="D42" s="48" t="n"/>
      <c r="E42" s="48" t="n"/>
      <c r="F42" s="48" t="n"/>
      <c r="G42" s="51" t="n"/>
      <c r="H42" s="51" t="n"/>
      <c r="I42" s="51">
        <f>IF(AND(G42="",H42=""),"",G42-H42)</f>
        <v/>
      </c>
      <c r="J42" s="51" t="n"/>
      <c r="K42" s="51">
        <f>IF(I42="","",K41+I42)</f>
        <v/>
      </c>
      <c r="L42" s="51">
        <f>IF(OR(J42="",K42=""),"",ROUND(J42-K42,2))</f>
        <v/>
      </c>
      <c r="M42" s="48" t="n"/>
      <c r="N42" s="48" t="n"/>
    </row>
    <row r="43" ht="15" customHeight="1" s="30">
      <c r="A43" s="48" t="n"/>
      <c r="B43" s="53" t="n"/>
      <c r="C43" s="48" t="n"/>
      <c r="D43" s="48" t="n"/>
      <c r="E43" s="48" t="n"/>
      <c r="F43" s="48" t="n"/>
      <c r="G43" s="51" t="n"/>
      <c r="H43" s="51" t="n"/>
      <c r="I43" s="51">
        <f>IF(AND(G43="",H43=""),"",G43-H43)</f>
        <v/>
      </c>
      <c r="J43" s="51" t="n"/>
      <c r="K43" s="51">
        <f>IF(I43="","",K42+I43)</f>
        <v/>
      </c>
      <c r="L43" s="51">
        <f>IF(OR(J43="",K43=""),"",ROUND(J43-K43,2))</f>
        <v/>
      </c>
      <c r="M43" s="48" t="n"/>
      <c r="N43" s="48" t="n"/>
    </row>
    <row r="44" ht="15" customHeight="1" s="30">
      <c r="A44" s="48" t="n"/>
      <c r="B44" s="53" t="n"/>
      <c r="C44" s="48" t="n"/>
      <c r="D44" s="48" t="n"/>
      <c r="E44" s="48" t="n"/>
      <c r="F44" s="48" t="n"/>
      <c r="G44" s="51" t="n"/>
      <c r="H44" s="51" t="n"/>
      <c r="I44" s="51">
        <f>IF(AND(G44="",H44=""),"",G44-H44)</f>
        <v/>
      </c>
      <c r="J44" s="51" t="n"/>
      <c r="K44" s="51">
        <f>IF(I44="","",K43+I44)</f>
        <v/>
      </c>
      <c r="L44" s="51">
        <f>IF(OR(J44="",K44=""),"",ROUND(J44-K44,2))</f>
        <v/>
      </c>
      <c r="M44" s="48" t="n"/>
      <c r="N44" s="48" t="n"/>
    </row>
    <row r="45" ht="15" customHeight="1" s="30">
      <c r="A45" s="48" t="n"/>
      <c r="B45" s="53" t="n"/>
      <c r="C45" s="48" t="n"/>
      <c r="D45" s="48" t="n"/>
      <c r="E45" s="48" t="n"/>
      <c r="F45" s="48" t="n"/>
      <c r="G45" s="51" t="n"/>
      <c r="H45" s="51" t="n"/>
      <c r="I45" s="51">
        <f>IF(AND(G45="",H45=""),"",G45-H45)</f>
        <v/>
      </c>
      <c r="J45" s="51" t="n"/>
      <c r="K45" s="51">
        <f>IF(I45="","",K44+I45)</f>
        <v/>
      </c>
      <c r="L45" s="51">
        <f>IF(OR(J45="",K45=""),"",ROUND(J45-K45,2))</f>
        <v/>
      </c>
      <c r="M45" s="48" t="n"/>
      <c r="N45" s="48" t="n"/>
    </row>
    <row r="46" ht="15" customHeight="1" s="30">
      <c r="A46" s="48" t="n"/>
      <c r="B46" s="53" t="n"/>
      <c r="C46" s="48" t="n"/>
      <c r="D46" s="48" t="n"/>
      <c r="E46" s="48" t="n"/>
      <c r="F46" s="48" t="n"/>
      <c r="G46" s="51" t="n"/>
      <c r="H46" s="51" t="n"/>
      <c r="I46" s="51">
        <f>IF(AND(G46="",H46=""),"",G46-H46)</f>
        <v/>
      </c>
      <c r="J46" s="51" t="n"/>
      <c r="K46" s="51">
        <f>IF(I46="","",K45+I46)</f>
        <v/>
      </c>
      <c r="L46" s="51">
        <f>IF(OR(J46="",K46=""),"",ROUND(J46-K46,2))</f>
        <v/>
      </c>
      <c r="M46" s="48" t="n"/>
      <c r="N46" s="48" t="n"/>
    </row>
    <row r="47" ht="15" customHeight="1" s="30">
      <c r="A47" s="48" t="n"/>
      <c r="B47" s="53" t="n"/>
      <c r="C47" s="48" t="n"/>
      <c r="D47" s="48" t="n"/>
      <c r="E47" s="48" t="n"/>
      <c r="F47" s="48" t="n"/>
      <c r="G47" s="51" t="n"/>
      <c r="H47" s="51" t="n"/>
      <c r="I47" s="51">
        <f>IF(AND(G47="",H47=""),"",G47-H47)</f>
        <v/>
      </c>
      <c r="J47" s="51" t="n"/>
      <c r="K47" s="51">
        <f>IF(I47="","",K46+I47)</f>
        <v/>
      </c>
      <c r="L47" s="51">
        <f>IF(OR(J47="",K47=""),"",ROUND(J47-K47,2))</f>
        <v/>
      </c>
      <c r="M47" s="48" t="n"/>
      <c r="N47" s="48" t="n"/>
    </row>
    <row r="48" ht="15" customHeight="1" s="30">
      <c r="A48" s="48" t="n"/>
      <c r="B48" s="53" t="n"/>
      <c r="C48" s="48" t="n"/>
      <c r="D48" s="48" t="n"/>
      <c r="E48" s="48" t="n"/>
      <c r="F48" s="48" t="n"/>
      <c r="G48" s="51" t="n"/>
      <c r="H48" s="51" t="n"/>
      <c r="I48" s="51">
        <f>IF(AND(G48="",H48=""),"",G48-H48)</f>
        <v/>
      </c>
      <c r="J48" s="51" t="n"/>
      <c r="K48" s="51">
        <f>IF(I48="","",K47+I48)</f>
        <v/>
      </c>
      <c r="L48" s="51">
        <f>IF(OR(J48="",K48=""),"",ROUND(J48-K48,2))</f>
        <v/>
      </c>
      <c r="M48" s="48" t="n"/>
      <c r="N48" s="48" t="n"/>
    </row>
    <row r="49" ht="15" customHeight="1" s="30">
      <c r="A49" s="48" t="n"/>
      <c r="B49" s="53" t="n"/>
      <c r="C49" s="48" t="n"/>
      <c r="D49" s="48" t="n"/>
      <c r="E49" s="48" t="n"/>
      <c r="F49" s="48" t="n"/>
      <c r="G49" s="51" t="n"/>
      <c r="H49" s="51" t="n"/>
      <c r="I49" s="51">
        <f>IF(AND(G49="",H49=""),"",G49-H49)</f>
        <v/>
      </c>
      <c r="J49" s="51" t="n"/>
      <c r="K49" s="51">
        <f>IF(I49="","",K48+I49)</f>
        <v/>
      </c>
      <c r="L49" s="51">
        <f>IF(OR(J49="",K49=""),"",ROUND(J49-K49,2))</f>
        <v/>
      </c>
      <c r="M49" s="48" t="n"/>
      <c r="N49" s="48" t="n"/>
    </row>
    <row r="50" ht="15" customHeight="1" s="30">
      <c r="A50" s="48" t="n"/>
      <c r="B50" s="53" t="n"/>
      <c r="C50" s="48" t="n"/>
      <c r="D50" s="48" t="n"/>
      <c r="E50" s="48" t="n"/>
      <c r="F50" s="48" t="n"/>
      <c r="G50" s="51" t="n"/>
      <c r="H50" s="51" t="n"/>
      <c r="I50" s="51">
        <f>IF(AND(G50="",H50=""),"",G50-H50)</f>
        <v/>
      </c>
      <c r="J50" s="51" t="n"/>
      <c r="K50" s="51">
        <f>IF(I50="","",K49+I50)</f>
        <v/>
      </c>
      <c r="L50" s="51">
        <f>IF(OR(J50="",K50=""),"",ROUND(J50-K50,2))</f>
        <v/>
      </c>
      <c r="M50" s="48" t="n"/>
      <c r="N50" s="48" t="n"/>
    </row>
    <row r="51" ht="15" customHeight="1" s="30">
      <c r="A51" s="48" t="n"/>
      <c r="B51" s="53" t="n"/>
      <c r="C51" s="48" t="n"/>
      <c r="D51" s="48" t="n"/>
      <c r="E51" s="48" t="n"/>
      <c r="F51" s="48" t="n"/>
      <c r="G51" s="51" t="n"/>
      <c r="H51" s="51" t="n"/>
      <c r="I51" s="51">
        <f>IF(AND(G51="",H51=""),"",G51-H51)</f>
        <v/>
      </c>
      <c r="J51" s="51" t="n"/>
      <c r="K51" s="51">
        <f>IF(I51="","",K50+I51)</f>
        <v/>
      </c>
      <c r="L51" s="51">
        <f>IF(OR(J51="",K51=""),"",ROUND(J51-K51,2))</f>
        <v/>
      </c>
      <c r="M51" s="48" t="n"/>
      <c r="N51" s="48" t="n"/>
    </row>
    <row r="52" ht="15" customHeight="1" s="30">
      <c r="A52" s="48" t="n"/>
      <c r="B52" s="53" t="n"/>
      <c r="C52" s="48" t="n"/>
      <c r="D52" s="48" t="n"/>
      <c r="E52" s="48" t="n"/>
      <c r="F52" s="48" t="n"/>
      <c r="G52" s="51" t="n"/>
      <c r="H52" s="51" t="n"/>
      <c r="I52" s="51">
        <f>IF(AND(G52="",H52=""),"",G52-H52)</f>
        <v/>
      </c>
      <c r="J52" s="51" t="n"/>
      <c r="K52" s="51">
        <f>IF(I52="","",K51+I52)</f>
        <v/>
      </c>
      <c r="L52" s="51">
        <f>IF(OR(J52="",K52=""),"",ROUND(J52-K52,2))</f>
        <v/>
      </c>
      <c r="M52" s="48" t="n"/>
      <c r="N52" s="48" t="n"/>
    </row>
    <row r="53" ht="15" customHeight="1" s="30">
      <c r="A53" s="48" t="n"/>
      <c r="B53" s="53" t="n"/>
      <c r="C53" s="48" t="n"/>
      <c r="D53" s="48" t="n"/>
      <c r="E53" s="48" t="n"/>
      <c r="F53" s="48" t="n"/>
      <c r="G53" s="51" t="n"/>
      <c r="H53" s="51" t="n"/>
      <c r="I53" s="51">
        <f>IF(AND(G53="",H53=""),"",G53-H53)</f>
        <v/>
      </c>
      <c r="J53" s="51" t="n"/>
      <c r="K53" s="51">
        <f>IF(I53="","",K52+I53)</f>
        <v/>
      </c>
      <c r="L53" s="51">
        <f>IF(OR(J53="",K53=""),"",ROUND(J53-K53,2))</f>
        <v/>
      </c>
      <c r="M53" s="48" t="n"/>
      <c r="N53" s="48" t="n"/>
    </row>
    <row r="54" ht="15" customHeight="1" s="30">
      <c r="A54" s="48" t="n"/>
      <c r="B54" s="53" t="n"/>
      <c r="C54" s="48" t="n"/>
      <c r="D54" s="48" t="n"/>
      <c r="E54" s="48" t="n"/>
      <c r="F54" s="48" t="n"/>
      <c r="G54" s="51" t="n"/>
      <c r="H54" s="51" t="n"/>
      <c r="I54" s="51">
        <f>IF(AND(G54="",H54=""),"",G54-H54)</f>
        <v/>
      </c>
      <c r="J54" s="51" t="n"/>
      <c r="K54" s="51">
        <f>IF(I54="","",K53+I54)</f>
        <v/>
      </c>
      <c r="L54" s="51">
        <f>IF(OR(J54="",K54=""),"",ROUND(J54-K54,2))</f>
        <v/>
      </c>
      <c r="M54" s="48" t="n"/>
      <c r="N54" s="48" t="n"/>
    </row>
    <row r="55" ht="15" customHeight="1" s="30">
      <c r="A55" s="48" t="n"/>
      <c r="B55" s="53" t="n"/>
      <c r="C55" s="48" t="n"/>
      <c r="D55" s="48" t="n"/>
      <c r="E55" s="48" t="n"/>
      <c r="F55" s="48" t="n"/>
      <c r="G55" s="51" t="n"/>
      <c r="H55" s="51" t="n"/>
      <c r="I55" s="51">
        <f>IF(AND(G55="",H55=""),"",G55-H55)</f>
        <v/>
      </c>
      <c r="J55" s="51" t="n"/>
      <c r="K55" s="51">
        <f>IF(I55="","",K54+I55)</f>
        <v/>
      </c>
      <c r="L55" s="51">
        <f>IF(OR(J55="",K55=""),"",ROUND(J55-K55,2))</f>
        <v/>
      </c>
      <c r="M55" s="48" t="n"/>
      <c r="N55" s="48" t="n"/>
    </row>
    <row r="56" ht="15" customHeight="1" s="30">
      <c r="A56" s="48" t="n"/>
      <c r="B56" s="53" t="n"/>
      <c r="C56" s="48" t="n"/>
      <c r="D56" s="48" t="n"/>
      <c r="E56" s="48" t="n"/>
      <c r="F56" s="48" t="n"/>
      <c r="G56" s="51" t="n"/>
      <c r="H56" s="51" t="n"/>
      <c r="I56" s="51">
        <f>IF(AND(G56="",H56=""),"",G56-H56)</f>
        <v/>
      </c>
      <c r="J56" s="51" t="n"/>
      <c r="K56" s="51">
        <f>IF(I56="","",K55+I56)</f>
        <v/>
      </c>
      <c r="L56" s="51">
        <f>IF(OR(J56="",K56=""),"",ROUND(J56-K56,2))</f>
        <v/>
      </c>
      <c r="M56" s="48" t="n"/>
      <c r="N56" s="48" t="n"/>
    </row>
    <row r="57" ht="15" customHeight="1" s="30">
      <c r="A57" s="48" t="n"/>
      <c r="B57" s="53" t="n"/>
      <c r="C57" s="48" t="n"/>
      <c r="D57" s="48" t="n"/>
      <c r="E57" s="48" t="n"/>
      <c r="F57" s="48" t="n"/>
      <c r="G57" s="51" t="n"/>
      <c r="H57" s="51" t="n"/>
      <c r="I57" s="51">
        <f>IF(AND(G57="",H57=""),"",G57-H57)</f>
        <v/>
      </c>
      <c r="J57" s="51" t="n"/>
      <c r="K57" s="51">
        <f>IF(I57="","",K56+I57)</f>
        <v/>
      </c>
      <c r="L57" s="51">
        <f>IF(OR(J57="",K57=""),"",ROUND(J57-K57,2))</f>
        <v/>
      </c>
      <c r="M57" s="48" t="n"/>
      <c r="N57" s="48" t="n"/>
    </row>
    <row r="58" ht="15" customHeight="1" s="30">
      <c r="A58" s="48" t="n"/>
      <c r="B58" s="53" t="n"/>
      <c r="C58" s="48" t="n"/>
      <c r="D58" s="48" t="n"/>
      <c r="E58" s="48" t="n"/>
      <c r="F58" s="48" t="n"/>
      <c r="G58" s="51" t="n"/>
      <c r="H58" s="51" t="n"/>
      <c r="I58" s="51">
        <f>IF(AND(G58="",H58=""),"",G58-H58)</f>
        <v/>
      </c>
      <c r="J58" s="51" t="n"/>
      <c r="K58" s="51">
        <f>IF(I58="","",K57+I58)</f>
        <v/>
      </c>
      <c r="L58" s="51">
        <f>IF(OR(J58="",K58=""),"",ROUND(J58-K58,2))</f>
        <v/>
      </c>
      <c r="M58" s="48" t="n"/>
      <c r="N58" s="48" t="n"/>
    </row>
    <row r="59" ht="15" customHeight="1" s="30">
      <c r="A59" s="48" t="n"/>
      <c r="B59" s="53" t="n"/>
      <c r="C59" s="48" t="n"/>
      <c r="D59" s="48" t="n"/>
      <c r="E59" s="48" t="n"/>
      <c r="F59" s="48" t="n"/>
      <c r="G59" s="51" t="n"/>
      <c r="H59" s="51" t="n"/>
      <c r="I59" s="51">
        <f>IF(AND(G59="",H59=""),"",G59-H59)</f>
        <v/>
      </c>
      <c r="J59" s="51" t="n"/>
      <c r="K59" s="51">
        <f>IF(I59="","",K58+I59)</f>
        <v/>
      </c>
      <c r="L59" s="51">
        <f>IF(OR(J59="",K59=""),"",ROUND(J59-K59,2))</f>
        <v/>
      </c>
      <c r="M59" s="48" t="n"/>
      <c r="N59" s="48" t="n"/>
    </row>
    <row r="60" ht="15" customHeight="1" s="30">
      <c r="A60" s="48" t="n"/>
      <c r="B60" s="53" t="n"/>
      <c r="C60" s="48" t="n"/>
      <c r="D60" s="48" t="n"/>
      <c r="E60" s="48" t="n"/>
      <c r="F60" s="48" t="n"/>
      <c r="G60" s="51" t="n"/>
      <c r="H60" s="51" t="n"/>
      <c r="I60" s="51">
        <f>IF(AND(G60="",H60=""),"",G60-H60)</f>
        <v/>
      </c>
      <c r="J60" s="51" t="n"/>
      <c r="K60" s="51">
        <f>IF(I60="","",K59+I60)</f>
        <v/>
      </c>
      <c r="L60" s="51">
        <f>IF(OR(J60="",K60=""),"",ROUND(J60-K60,2))</f>
        <v/>
      </c>
      <c r="M60" s="48" t="n"/>
      <c r="N60" s="48" t="n"/>
    </row>
    <row r="61" ht="15" customHeight="1" s="30">
      <c r="A61" s="48" t="n"/>
      <c r="B61" s="53" t="n"/>
      <c r="C61" s="48" t="n"/>
      <c r="D61" s="48" t="n"/>
      <c r="E61" s="48" t="n"/>
      <c r="F61" s="48" t="n"/>
      <c r="G61" s="51" t="n"/>
      <c r="H61" s="51" t="n"/>
      <c r="I61" s="51">
        <f>IF(AND(G61="",H61=""),"",G61-H61)</f>
        <v/>
      </c>
      <c r="J61" s="51" t="n"/>
      <c r="K61" s="51">
        <f>IF(I61="","",K60+I61)</f>
        <v/>
      </c>
      <c r="L61" s="51">
        <f>IF(OR(J61="",K61=""),"",ROUND(J61-K61,2))</f>
        <v/>
      </c>
      <c r="M61" s="48" t="n"/>
      <c r="N61" s="48" t="n"/>
    </row>
    <row r="62" ht="15" customHeight="1" s="30">
      <c r="A62" s="48" t="n"/>
      <c r="B62" s="53" t="n"/>
      <c r="C62" s="48" t="n"/>
      <c r="D62" s="48" t="n"/>
      <c r="E62" s="48" t="n"/>
      <c r="F62" s="48" t="n"/>
      <c r="G62" s="51" t="n"/>
      <c r="H62" s="51" t="n"/>
      <c r="I62" s="51">
        <f>IF(AND(G62="",H62=""),"",G62-H62)</f>
        <v/>
      </c>
      <c r="J62" s="51" t="n"/>
      <c r="K62" s="51">
        <f>IF(I62="","",K61+I62)</f>
        <v/>
      </c>
      <c r="L62" s="51">
        <f>IF(OR(J62="",K62=""),"",ROUND(J62-K62,2))</f>
        <v/>
      </c>
      <c r="M62" s="48" t="n"/>
      <c r="N62" s="48" t="n"/>
    </row>
    <row r="63" ht="15" customHeight="1" s="30">
      <c r="A63" s="48" t="n"/>
      <c r="B63" s="53" t="n"/>
      <c r="C63" s="48" t="n"/>
      <c r="D63" s="48" t="n"/>
      <c r="E63" s="48" t="n"/>
      <c r="F63" s="48" t="n"/>
      <c r="G63" s="51" t="n"/>
      <c r="H63" s="51" t="n"/>
      <c r="I63" s="51">
        <f>IF(AND(G63="",H63=""),"",G63-H63)</f>
        <v/>
      </c>
      <c r="J63" s="51" t="n"/>
      <c r="K63" s="51">
        <f>IF(I63="","",K62+I63)</f>
        <v/>
      </c>
      <c r="L63" s="51">
        <f>IF(OR(J63="",K63=""),"",ROUND(J63-K63,2))</f>
        <v/>
      </c>
      <c r="M63" s="48" t="n"/>
      <c r="N63" s="48" t="n"/>
    </row>
    <row r="64" ht="15" customHeight="1" s="30">
      <c r="A64" s="48" t="n"/>
      <c r="B64" s="53" t="n"/>
      <c r="C64" s="48" t="n"/>
      <c r="D64" s="48" t="n"/>
      <c r="E64" s="48" t="n"/>
      <c r="F64" s="48" t="n"/>
      <c r="G64" s="51" t="n"/>
      <c r="H64" s="51" t="n"/>
      <c r="I64" s="51">
        <f>IF(AND(G64="",H64=""),"",G64-H64)</f>
        <v/>
      </c>
      <c r="J64" s="51" t="n"/>
      <c r="K64" s="51">
        <f>IF(I64="","",K63+I64)</f>
        <v/>
      </c>
      <c r="L64" s="51">
        <f>IF(OR(J64="",K64=""),"",ROUND(J64-K64,2))</f>
        <v/>
      </c>
      <c r="M64" s="48" t="n"/>
      <c r="N64" s="48" t="n"/>
    </row>
  </sheetData>
  <autoFilter ref="A4:N64"/>
  <dataValidations count="1">
    <dataValidation sqref="N5:N64" showDropDown="0" showInputMessage="0" showErrorMessage="0" allowBlank="1" type="list" errorStyle="stop" operator="between">
      <formula1>"Sin registrar,Registrado sin conciliar,Conciliado"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tabColor rgb="FF24606C"/>
    <outlinePr summaryBelow="1" summaryRight="1"/>
    <pageSetUpPr fitToPage="0"/>
  </sheetPr>
  <dimension ref="A1:L6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9" min="1" max="1"/>
    <col width="16" customWidth="1" style="29" min="2" max="2"/>
    <col width="22" customWidth="1" style="29" min="3" max="3"/>
    <col width="11" customWidth="1" style="29" min="4" max="4"/>
    <col width="30" customWidth="1" style="29" min="5" max="5"/>
    <col width="15" customWidth="1" style="29" min="6" max="6"/>
    <col width="38" customWidth="1" style="29" min="7" max="7"/>
    <col width="13" customWidth="1" style="29" min="8" max="8"/>
    <col width="14" customWidth="1" style="29" min="9" max="9"/>
    <col width="24" customWidth="1" style="29" min="10" max="10"/>
    <col width="10" customWidth="1" style="29" min="11" max="11"/>
    <col width="30" customWidth="1" style="29" min="12" max="12"/>
  </cols>
  <sheetData>
    <row r="1" ht="19.7" customHeight="1" s="30">
      <c r="A1" s="31" t="inlineStr">
        <is>
          <t>Partidas abiertas en Odoo</t>
        </is>
      </c>
    </row>
    <row r="2" ht="15" customHeight="1" s="30">
      <c r="A2" s="32" t="inlineStr">
        <is>
          <t>Facturas y notas con saldo, pagos sin conciliar, líneas en suspenso y cuentas puente.</t>
        </is>
      </c>
    </row>
    <row r="4" ht="33.75" customHeight="1" s="30">
      <c r="A4" s="44" t="inlineStr">
        <is>
          <t>ID Odoo</t>
        </is>
      </c>
      <c r="B4" s="44" t="inlineStr">
        <is>
          <t>Tipo</t>
        </is>
      </c>
      <c r="C4" s="44" t="inlineStr">
        <is>
          <t>Documento</t>
        </is>
      </c>
      <c r="D4" s="44" t="inlineStr">
        <is>
          <t>Fecha</t>
        </is>
      </c>
      <c r="E4" s="44" t="inlineStr">
        <is>
          <t>Partner</t>
        </is>
      </c>
      <c r="F4" s="44" t="inlineStr">
        <is>
          <t>RFC</t>
        </is>
      </c>
      <c r="G4" s="44" t="inlineStr">
        <is>
          <t>UUID</t>
        </is>
      </c>
      <c r="H4" s="44" t="inlineStr">
        <is>
          <t>Total</t>
        </is>
      </c>
      <c r="I4" s="44" t="inlineStr">
        <is>
          <t>Saldo pendiente</t>
        </is>
      </c>
      <c r="J4" s="44" t="inlineStr">
        <is>
          <t>Cuenta</t>
        </is>
      </c>
      <c r="K4" s="44" t="inlineStr">
        <is>
          <t>Días desde fecha</t>
        </is>
      </c>
      <c r="L4" s="44" t="inlineStr">
        <is>
          <t>Observación</t>
        </is>
      </c>
    </row>
    <row r="5" ht="23.85" customHeight="1" s="30">
      <c r="A5" s="46" t="n">
        <v>476</v>
      </c>
      <c r="B5" s="46" t="inlineStr">
        <is>
          <t>Factura proveedor</t>
        </is>
      </c>
      <c r="C5" s="46" t="inlineStr">
        <is>
          <t>BILL1/2026/07/0015</t>
        </is>
      </c>
      <c r="D5" s="50" t="n">
        <v>46234</v>
      </c>
      <c r="E5" s="46" t="inlineStr">
        <is>
          <t>GRUPO NACIONAL PROVINCIAL</t>
        </is>
      </c>
      <c r="F5" s="46" t="inlineStr">
        <is>
          <t>GNP9211244P0</t>
        </is>
      </c>
      <c r="G5" s="46" t="inlineStr">
        <is>
          <t>4C0A1E2B-3D4F-5A6B-8C7D-9E0F1A2B3C4D</t>
        </is>
      </c>
      <c r="H5" s="52" t="n">
        <v>6256.82</v>
      </c>
      <c r="I5" s="52" t="n">
        <v>4692.76</v>
      </c>
      <c r="J5" s="46" t="inlineStr">
        <is>
          <t>201.01.01 Proveedores nacionales</t>
        </is>
      </c>
      <c r="K5" s="48">
        <f>IF(D5="","",TODAY()-D5)</f>
        <v/>
      </c>
      <c r="L5" s="46" t="inlineStr">
        <is>
          <t>Pago en parcialidades con REP</t>
        </is>
      </c>
    </row>
    <row r="6" ht="15" customHeight="1" s="30">
      <c r="A6" s="48" t="n"/>
      <c r="B6" s="48" t="n"/>
      <c r="C6" s="48" t="n"/>
      <c r="D6" s="53" t="n"/>
      <c r="E6" s="48" t="n"/>
      <c r="F6" s="48" t="n"/>
      <c r="G6" s="48" t="n"/>
      <c r="H6" s="51" t="n"/>
      <c r="I6" s="51" t="n"/>
      <c r="J6" s="48" t="n"/>
      <c r="K6" s="48">
        <f>IF(D6="","",TODAY()-D6)</f>
        <v/>
      </c>
      <c r="L6" s="48" t="n"/>
    </row>
    <row r="7" ht="15" customHeight="1" s="30">
      <c r="A7" s="48" t="n"/>
      <c r="B7" s="48" t="n"/>
      <c r="C7" s="48" t="n"/>
      <c r="D7" s="53" t="n"/>
      <c r="E7" s="48" t="n"/>
      <c r="F7" s="48" t="n"/>
      <c r="G7" s="48" t="n"/>
      <c r="H7" s="51" t="n"/>
      <c r="I7" s="51" t="n"/>
      <c r="J7" s="48" t="n"/>
      <c r="K7" s="48">
        <f>IF(D7="","",TODAY()-D7)</f>
        <v/>
      </c>
      <c r="L7" s="48" t="n"/>
    </row>
    <row r="8" ht="15" customHeight="1" s="30">
      <c r="A8" s="48" t="n"/>
      <c r="B8" s="48" t="n"/>
      <c r="C8" s="48" t="n"/>
      <c r="D8" s="53" t="n"/>
      <c r="E8" s="48" t="n"/>
      <c r="F8" s="48" t="n"/>
      <c r="G8" s="48" t="n"/>
      <c r="H8" s="51" t="n"/>
      <c r="I8" s="51" t="n"/>
      <c r="J8" s="48" t="n"/>
      <c r="K8" s="48">
        <f>IF(D8="","",TODAY()-D8)</f>
        <v/>
      </c>
      <c r="L8" s="48" t="n"/>
    </row>
    <row r="9" ht="15" customHeight="1" s="30">
      <c r="A9" s="48" t="n"/>
      <c r="B9" s="48" t="n"/>
      <c r="C9" s="48" t="n"/>
      <c r="D9" s="53" t="n"/>
      <c r="E9" s="48" t="n"/>
      <c r="F9" s="48" t="n"/>
      <c r="G9" s="48" t="n"/>
      <c r="H9" s="51" t="n"/>
      <c r="I9" s="51" t="n"/>
      <c r="J9" s="48" t="n"/>
      <c r="K9" s="48">
        <f>IF(D9="","",TODAY()-D9)</f>
        <v/>
      </c>
      <c r="L9" s="48" t="n"/>
    </row>
    <row r="10" ht="15" customHeight="1" s="30">
      <c r="A10" s="48" t="n"/>
      <c r="B10" s="48" t="n"/>
      <c r="C10" s="48" t="n"/>
      <c r="D10" s="53" t="n"/>
      <c r="E10" s="48" t="n"/>
      <c r="F10" s="48" t="n"/>
      <c r="G10" s="48" t="n"/>
      <c r="H10" s="51" t="n"/>
      <c r="I10" s="51" t="n"/>
      <c r="J10" s="48" t="n"/>
      <c r="K10" s="48">
        <f>IF(D10="","",TODAY()-D10)</f>
        <v/>
      </c>
      <c r="L10" s="48" t="n"/>
    </row>
    <row r="11" ht="15" customHeight="1" s="30">
      <c r="A11" s="48" t="n"/>
      <c r="B11" s="48" t="n"/>
      <c r="C11" s="48" t="n"/>
      <c r="D11" s="53" t="n"/>
      <c r="E11" s="48" t="n"/>
      <c r="F11" s="48" t="n"/>
      <c r="G11" s="48" t="n"/>
      <c r="H11" s="51" t="n"/>
      <c r="I11" s="51" t="n"/>
      <c r="J11" s="48" t="n"/>
      <c r="K11" s="48">
        <f>IF(D11="","",TODAY()-D11)</f>
        <v/>
      </c>
      <c r="L11" s="48" t="n"/>
    </row>
    <row r="12" ht="15" customHeight="1" s="30">
      <c r="A12" s="48" t="n"/>
      <c r="B12" s="48" t="n"/>
      <c r="C12" s="48" t="n"/>
      <c r="D12" s="53" t="n"/>
      <c r="E12" s="48" t="n"/>
      <c r="F12" s="48" t="n"/>
      <c r="G12" s="48" t="n"/>
      <c r="H12" s="51" t="n"/>
      <c r="I12" s="51" t="n"/>
      <c r="J12" s="48" t="n"/>
      <c r="K12" s="48">
        <f>IF(D12="","",TODAY()-D12)</f>
        <v/>
      </c>
      <c r="L12" s="48" t="n"/>
    </row>
    <row r="13" ht="15" customHeight="1" s="30">
      <c r="A13" s="48" t="n"/>
      <c r="B13" s="48" t="n"/>
      <c r="C13" s="48" t="n"/>
      <c r="D13" s="53" t="n"/>
      <c r="E13" s="48" t="n"/>
      <c r="F13" s="48" t="n"/>
      <c r="G13" s="48" t="n"/>
      <c r="H13" s="51" t="n"/>
      <c r="I13" s="51" t="n"/>
      <c r="J13" s="48" t="n"/>
      <c r="K13" s="48">
        <f>IF(D13="","",TODAY()-D13)</f>
        <v/>
      </c>
      <c r="L13" s="48" t="n"/>
    </row>
    <row r="14" ht="15" customHeight="1" s="30">
      <c r="A14" s="48" t="n"/>
      <c r="B14" s="48" t="n"/>
      <c r="C14" s="48" t="n"/>
      <c r="D14" s="53" t="n"/>
      <c r="E14" s="48" t="n"/>
      <c r="F14" s="48" t="n"/>
      <c r="G14" s="48" t="n"/>
      <c r="H14" s="51" t="n"/>
      <c r="I14" s="51" t="n"/>
      <c r="J14" s="48" t="n"/>
      <c r="K14" s="48">
        <f>IF(D14="","",TODAY()-D14)</f>
        <v/>
      </c>
      <c r="L14" s="48" t="n"/>
    </row>
    <row r="15" ht="15" customHeight="1" s="30">
      <c r="A15" s="48" t="n"/>
      <c r="B15" s="48" t="n"/>
      <c r="C15" s="48" t="n"/>
      <c r="D15" s="53" t="n"/>
      <c r="E15" s="48" t="n"/>
      <c r="F15" s="48" t="n"/>
      <c r="G15" s="48" t="n"/>
      <c r="H15" s="51" t="n"/>
      <c r="I15" s="51" t="n"/>
      <c r="J15" s="48" t="n"/>
      <c r="K15" s="48">
        <f>IF(D15="","",TODAY()-D15)</f>
        <v/>
      </c>
      <c r="L15" s="48" t="n"/>
    </row>
    <row r="16" ht="15" customHeight="1" s="30">
      <c r="A16" s="48" t="n"/>
      <c r="B16" s="48" t="n"/>
      <c r="C16" s="48" t="n"/>
      <c r="D16" s="53" t="n"/>
      <c r="E16" s="48" t="n"/>
      <c r="F16" s="48" t="n"/>
      <c r="G16" s="48" t="n"/>
      <c r="H16" s="51" t="n"/>
      <c r="I16" s="51" t="n"/>
      <c r="J16" s="48" t="n"/>
      <c r="K16" s="48">
        <f>IF(D16="","",TODAY()-D16)</f>
        <v/>
      </c>
      <c r="L16" s="48" t="n"/>
    </row>
    <row r="17" ht="15" customHeight="1" s="30">
      <c r="A17" s="48" t="n"/>
      <c r="B17" s="48" t="n"/>
      <c r="C17" s="48" t="n"/>
      <c r="D17" s="53" t="n"/>
      <c r="E17" s="48" t="n"/>
      <c r="F17" s="48" t="n"/>
      <c r="G17" s="48" t="n"/>
      <c r="H17" s="51" t="n"/>
      <c r="I17" s="51" t="n"/>
      <c r="J17" s="48" t="n"/>
      <c r="K17" s="48">
        <f>IF(D17="","",TODAY()-D17)</f>
        <v/>
      </c>
      <c r="L17" s="48" t="n"/>
    </row>
    <row r="18" ht="15" customHeight="1" s="30">
      <c r="A18" s="48" t="n"/>
      <c r="B18" s="48" t="n"/>
      <c r="C18" s="48" t="n"/>
      <c r="D18" s="53" t="n"/>
      <c r="E18" s="48" t="n"/>
      <c r="F18" s="48" t="n"/>
      <c r="G18" s="48" t="n"/>
      <c r="H18" s="51" t="n"/>
      <c r="I18" s="51" t="n"/>
      <c r="J18" s="48" t="n"/>
      <c r="K18" s="48">
        <f>IF(D18="","",TODAY()-D18)</f>
        <v/>
      </c>
      <c r="L18" s="48" t="n"/>
    </row>
    <row r="19" ht="15" customHeight="1" s="30">
      <c r="A19" s="48" t="n"/>
      <c r="B19" s="48" t="n"/>
      <c r="C19" s="48" t="n"/>
      <c r="D19" s="53" t="n"/>
      <c r="E19" s="48" t="n"/>
      <c r="F19" s="48" t="n"/>
      <c r="G19" s="48" t="n"/>
      <c r="H19" s="51" t="n"/>
      <c r="I19" s="51" t="n"/>
      <c r="J19" s="48" t="n"/>
      <c r="K19" s="48">
        <f>IF(D19="","",TODAY()-D19)</f>
        <v/>
      </c>
      <c r="L19" s="48" t="n"/>
    </row>
    <row r="20" ht="15" customHeight="1" s="30">
      <c r="A20" s="48" t="n"/>
      <c r="B20" s="48" t="n"/>
      <c r="C20" s="48" t="n"/>
      <c r="D20" s="53" t="n"/>
      <c r="E20" s="48" t="n"/>
      <c r="F20" s="48" t="n"/>
      <c r="G20" s="48" t="n"/>
      <c r="H20" s="51" t="n"/>
      <c r="I20" s="51" t="n"/>
      <c r="J20" s="48" t="n"/>
      <c r="K20" s="48">
        <f>IF(D20="","",TODAY()-D20)</f>
        <v/>
      </c>
      <c r="L20" s="48" t="n"/>
    </row>
    <row r="21" ht="15" customHeight="1" s="30">
      <c r="A21" s="48" t="n"/>
      <c r="B21" s="48" t="n"/>
      <c r="C21" s="48" t="n"/>
      <c r="D21" s="53" t="n"/>
      <c r="E21" s="48" t="n"/>
      <c r="F21" s="48" t="n"/>
      <c r="G21" s="48" t="n"/>
      <c r="H21" s="51" t="n"/>
      <c r="I21" s="51" t="n"/>
      <c r="J21" s="48" t="n"/>
      <c r="K21" s="48">
        <f>IF(D21="","",TODAY()-D21)</f>
        <v/>
      </c>
      <c r="L21" s="48" t="n"/>
    </row>
    <row r="22" ht="15" customHeight="1" s="30">
      <c r="A22" s="48" t="n"/>
      <c r="B22" s="48" t="n"/>
      <c r="C22" s="48" t="n"/>
      <c r="D22" s="53" t="n"/>
      <c r="E22" s="48" t="n"/>
      <c r="F22" s="48" t="n"/>
      <c r="G22" s="48" t="n"/>
      <c r="H22" s="51" t="n"/>
      <c r="I22" s="51" t="n"/>
      <c r="J22" s="48" t="n"/>
      <c r="K22" s="48">
        <f>IF(D22="","",TODAY()-D22)</f>
        <v/>
      </c>
      <c r="L22" s="48" t="n"/>
    </row>
    <row r="23" ht="15" customHeight="1" s="30">
      <c r="A23" s="48" t="n"/>
      <c r="B23" s="48" t="n"/>
      <c r="C23" s="48" t="n"/>
      <c r="D23" s="53" t="n"/>
      <c r="E23" s="48" t="n"/>
      <c r="F23" s="48" t="n"/>
      <c r="G23" s="48" t="n"/>
      <c r="H23" s="51" t="n"/>
      <c r="I23" s="51" t="n"/>
      <c r="J23" s="48" t="n"/>
      <c r="K23" s="48">
        <f>IF(D23="","",TODAY()-D23)</f>
        <v/>
      </c>
      <c r="L23" s="48" t="n"/>
    </row>
    <row r="24" ht="15" customHeight="1" s="30">
      <c r="A24" s="48" t="n"/>
      <c r="B24" s="48" t="n"/>
      <c r="C24" s="48" t="n"/>
      <c r="D24" s="53" t="n"/>
      <c r="E24" s="48" t="n"/>
      <c r="F24" s="48" t="n"/>
      <c r="G24" s="48" t="n"/>
      <c r="H24" s="51" t="n"/>
      <c r="I24" s="51" t="n"/>
      <c r="J24" s="48" t="n"/>
      <c r="K24" s="48">
        <f>IF(D24="","",TODAY()-D24)</f>
        <v/>
      </c>
      <c r="L24" s="48" t="n"/>
    </row>
    <row r="25" ht="15" customHeight="1" s="30">
      <c r="A25" s="48" t="n"/>
      <c r="B25" s="48" t="n"/>
      <c r="C25" s="48" t="n"/>
      <c r="D25" s="53" t="n"/>
      <c r="E25" s="48" t="n"/>
      <c r="F25" s="48" t="n"/>
      <c r="G25" s="48" t="n"/>
      <c r="H25" s="51" t="n"/>
      <c r="I25" s="51" t="n"/>
      <c r="J25" s="48" t="n"/>
      <c r="K25" s="48">
        <f>IF(D25="","",TODAY()-D25)</f>
        <v/>
      </c>
      <c r="L25" s="48" t="n"/>
    </row>
    <row r="26" ht="15" customHeight="1" s="30">
      <c r="A26" s="48" t="n"/>
      <c r="B26" s="48" t="n"/>
      <c r="C26" s="48" t="n"/>
      <c r="D26" s="53" t="n"/>
      <c r="E26" s="48" t="n"/>
      <c r="F26" s="48" t="n"/>
      <c r="G26" s="48" t="n"/>
      <c r="H26" s="51" t="n"/>
      <c r="I26" s="51" t="n"/>
      <c r="J26" s="48" t="n"/>
      <c r="K26" s="48">
        <f>IF(D26="","",TODAY()-D26)</f>
        <v/>
      </c>
      <c r="L26" s="48" t="n"/>
    </row>
    <row r="27" ht="15" customHeight="1" s="30">
      <c r="A27" s="48" t="n"/>
      <c r="B27" s="48" t="n"/>
      <c r="C27" s="48" t="n"/>
      <c r="D27" s="53" t="n"/>
      <c r="E27" s="48" t="n"/>
      <c r="F27" s="48" t="n"/>
      <c r="G27" s="48" t="n"/>
      <c r="H27" s="51" t="n"/>
      <c r="I27" s="51" t="n"/>
      <c r="J27" s="48" t="n"/>
      <c r="K27" s="48">
        <f>IF(D27="","",TODAY()-D27)</f>
        <v/>
      </c>
      <c r="L27" s="48" t="n"/>
    </row>
    <row r="28" ht="15" customHeight="1" s="30">
      <c r="A28" s="48" t="n"/>
      <c r="B28" s="48" t="n"/>
      <c r="C28" s="48" t="n"/>
      <c r="D28" s="53" t="n"/>
      <c r="E28" s="48" t="n"/>
      <c r="F28" s="48" t="n"/>
      <c r="G28" s="48" t="n"/>
      <c r="H28" s="51" t="n"/>
      <c r="I28" s="51" t="n"/>
      <c r="J28" s="48" t="n"/>
      <c r="K28" s="48">
        <f>IF(D28="","",TODAY()-D28)</f>
        <v/>
      </c>
      <c r="L28" s="48" t="n"/>
    </row>
    <row r="29" ht="15" customHeight="1" s="30">
      <c r="A29" s="48" t="n"/>
      <c r="B29" s="48" t="n"/>
      <c r="C29" s="48" t="n"/>
      <c r="D29" s="53" t="n"/>
      <c r="E29" s="48" t="n"/>
      <c r="F29" s="48" t="n"/>
      <c r="G29" s="48" t="n"/>
      <c r="H29" s="51" t="n"/>
      <c r="I29" s="51" t="n"/>
      <c r="J29" s="48" t="n"/>
      <c r="K29" s="48">
        <f>IF(D29="","",TODAY()-D29)</f>
        <v/>
      </c>
      <c r="L29" s="48" t="n"/>
    </row>
    <row r="30" ht="15" customHeight="1" s="30">
      <c r="A30" s="48" t="n"/>
      <c r="B30" s="48" t="n"/>
      <c r="C30" s="48" t="n"/>
      <c r="D30" s="53" t="n"/>
      <c r="E30" s="48" t="n"/>
      <c r="F30" s="48" t="n"/>
      <c r="G30" s="48" t="n"/>
      <c r="H30" s="51" t="n"/>
      <c r="I30" s="51" t="n"/>
      <c r="J30" s="48" t="n"/>
      <c r="K30" s="48">
        <f>IF(D30="","",TODAY()-D30)</f>
        <v/>
      </c>
      <c r="L30" s="48" t="n"/>
    </row>
    <row r="31" ht="15" customHeight="1" s="30">
      <c r="A31" s="48" t="n"/>
      <c r="B31" s="48" t="n"/>
      <c r="C31" s="48" t="n"/>
      <c r="D31" s="53" t="n"/>
      <c r="E31" s="48" t="n"/>
      <c r="F31" s="48" t="n"/>
      <c r="G31" s="48" t="n"/>
      <c r="H31" s="51" t="n"/>
      <c r="I31" s="51" t="n"/>
      <c r="J31" s="48" t="n"/>
      <c r="K31" s="48">
        <f>IF(D31="","",TODAY()-D31)</f>
        <v/>
      </c>
      <c r="L31" s="48" t="n"/>
    </row>
    <row r="32" ht="15" customHeight="1" s="30">
      <c r="A32" s="48" t="n"/>
      <c r="B32" s="48" t="n"/>
      <c r="C32" s="48" t="n"/>
      <c r="D32" s="53" t="n"/>
      <c r="E32" s="48" t="n"/>
      <c r="F32" s="48" t="n"/>
      <c r="G32" s="48" t="n"/>
      <c r="H32" s="51" t="n"/>
      <c r="I32" s="51" t="n"/>
      <c r="J32" s="48" t="n"/>
      <c r="K32" s="48">
        <f>IF(D32="","",TODAY()-D32)</f>
        <v/>
      </c>
      <c r="L32" s="48" t="n"/>
    </row>
    <row r="33" ht="15" customHeight="1" s="30">
      <c r="A33" s="48" t="n"/>
      <c r="B33" s="48" t="n"/>
      <c r="C33" s="48" t="n"/>
      <c r="D33" s="53" t="n"/>
      <c r="E33" s="48" t="n"/>
      <c r="F33" s="48" t="n"/>
      <c r="G33" s="48" t="n"/>
      <c r="H33" s="51" t="n"/>
      <c r="I33" s="51" t="n"/>
      <c r="J33" s="48" t="n"/>
      <c r="K33" s="48">
        <f>IF(D33="","",TODAY()-D33)</f>
        <v/>
      </c>
      <c r="L33" s="48" t="n"/>
    </row>
    <row r="34" ht="15" customHeight="1" s="30">
      <c r="A34" s="48" t="n"/>
      <c r="B34" s="48" t="n"/>
      <c r="C34" s="48" t="n"/>
      <c r="D34" s="53" t="n"/>
      <c r="E34" s="48" t="n"/>
      <c r="F34" s="48" t="n"/>
      <c r="G34" s="48" t="n"/>
      <c r="H34" s="51" t="n"/>
      <c r="I34" s="51" t="n"/>
      <c r="J34" s="48" t="n"/>
      <c r="K34" s="48">
        <f>IF(D34="","",TODAY()-D34)</f>
        <v/>
      </c>
      <c r="L34" s="48" t="n"/>
    </row>
    <row r="35" ht="15" customHeight="1" s="30">
      <c r="A35" s="48" t="n"/>
      <c r="B35" s="48" t="n"/>
      <c r="C35" s="48" t="n"/>
      <c r="D35" s="53" t="n"/>
      <c r="E35" s="48" t="n"/>
      <c r="F35" s="48" t="n"/>
      <c r="G35" s="48" t="n"/>
      <c r="H35" s="51" t="n"/>
      <c r="I35" s="51" t="n"/>
      <c r="J35" s="48" t="n"/>
      <c r="K35" s="48">
        <f>IF(D35="","",TODAY()-D35)</f>
        <v/>
      </c>
      <c r="L35" s="48" t="n"/>
    </row>
    <row r="36" ht="15" customHeight="1" s="30">
      <c r="A36" s="48" t="n"/>
      <c r="B36" s="48" t="n"/>
      <c r="C36" s="48" t="n"/>
      <c r="D36" s="53" t="n"/>
      <c r="E36" s="48" t="n"/>
      <c r="F36" s="48" t="n"/>
      <c r="G36" s="48" t="n"/>
      <c r="H36" s="51" t="n"/>
      <c r="I36" s="51" t="n"/>
      <c r="J36" s="48" t="n"/>
      <c r="K36" s="48">
        <f>IF(D36="","",TODAY()-D36)</f>
        <v/>
      </c>
      <c r="L36" s="48" t="n"/>
    </row>
    <row r="37" ht="15" customHeight="1" s="30">
      <c r="A37" s="48" t="n"/>
      <c r="B37" s="48" t="n"/>
      <c r="C37" s="48" t="n"/>
      <c r="D37" s="53" t="n"/>
      <c r="E37" s="48" t="n"/>
      <c r="F37" s="48" t="n"/>
      <c r="G37" s="48" t="n"/>
      <c r="H37" s="51" t="n"/>
      <c r="I37" s="51" t="n"/>
      <c r="J37" s="48" t="n"/>
      <c r="K37" s="48">
        <f>IF(D37="","",TODAY()-D37)</f>
        <v/>
      </c>
      <c r="L37" s="48" t="n"/>
    </row>
    <row r="38" ht="15" customHeight="1" s="30">
      <c r="A38" s="48" t="n"/>
      <c r="B38" s="48" t="n"/>
      <c r="C38" s="48" t="n"/>
      <c r="D38" s="53" t="n"/>
      <c r="E38" s="48" t="n"/>
      <c r="F38" s="48" t="n"/>
      <c r="G38" s="48" t="n"/>
      <c r="H38" s="51" t="n"/>
      <c r="I38" s="51" t="n"/>
      <c r="J38" s="48" t="n"/>
      <c r="K38" s="48">
        <f>IF(D38="","",TODAY()-D38)</f>
        <v/>
      </c>
      <c r="L38" s="48" t="n"/>
    </row>
    <row r="39" ht="15" customHeight="1" s="30">
      <c r="A39" s="48" t="n"/>
      <c r="B39" s="48" t="n"/>
      <c r="C39" s="48" t="n"/>
      <c r="D39" s="53" t="n"/>
      <c r="E39" s="48" t="n"/>
      <c r="F39" s="48" t="n"/>
      <c r="G39" s="48" t="n"/>
      <c r="H39" s="51" t="n"/>
      <c r="I39" s="51" t="n"/>
      <c r="J39" s="48" t="n"/>
      <c r="K39" s="48">
        <f>IF(D39="","",TODAY()-D39)</f>
        <v/>
      </c>
      <c r="L39" s="48" t="n"/>
    </row>
    <row r="40" ht="15" customHeight="1" s="30">
      <c r="A40" s="48" t="n"/>
      <c r="B40" s="48" t="n"/>
      <c r="C40" s="48" t="n"/>
      <c r="D40" s="53" t="n"/>
      <c r="E40" s="48" t="n"/>
      <c r="F40" s="48" t="n"/>
      <c r="G40" s="48" t="n"/>
      <c r="H40" s="51" t="n"/>
      <c r="I40" s="51" t="n"/>
      <c r="J40" s="48" t="n"/>
      <c r="K40" s="48">
        <f>IF(D40="","",TODAY()-D40)</f>
        <v/>
      </c>
      <c r="L40" s="48" t="n"/>
    </row>
    <row r="41" ht="15" customHeight="1" s="30">
      <c r="A41" s="48" t="n"/>
      <c r="B41" s="48" t="n"/>
      <c r="C41" s="48" t="n"/>
      <c r="D41" s="53" t="n"/>
      <c r="E41" s="48" t="n"/>
      <c r="F41" s="48" t="n"/>
      <c r="G41" s="48" t="n"/>
      <c r="H41" s="51" t="n"/>
      <c r="I41" s="51" t="n"/>
      <c r="J41" s="48" t="n"/>
      <c r="K41" s="48">
        <f>IF(D41="","",TODAY()-D41)</f>
        <v/>
      </c>
      <c r="L41" s="48" t="n"/>
    </row>
    <row r="42" ht="15" customHeight="1" s="30">
      <c r="A42" s="48" t="n"/>
      <c r="B42" s="48" t="n"/>
      <c r="C42" s="48" t="n"/>
      <c r="D42" s="53" t="n"/>
      <c r="E42" s="48" t="n"/>
      <c r="F42" s="48" t="n"/>
      <c r="G42" s="48" t="n"/>
      <c r="H42" s="51" t="n"/>
      <c r="I42" s="51" t="n"/>
      <c r="J42" s="48" t="n"/>
      <c r="K42" s="48">
        <f>IF(D42="","",TODAY()-D42)</f>
        <v/>
      </c>
      <c r="L42" s="48" t="n"/>
    </row>
    <row r="43" ht="15" customHeight="1" s="30">
      <c r="A43" s="48" t="n"/>
      <c r="B43" s="48" t="n"/>
      <c r="C43" s="48" t="n"/>
      <c r="D43" s="53" t="n"/>
      <c r="E43" s="48" t="n"/>
      <c r="F43" s="48" t="n"/>
      <c r="G43" s="48" t="n"/>
      <c r="H43" s="51" t="n"/>
      <c r="I43" s="51" t="n"/>
      <c r="J43" s="48" t="n"/>
      <c r="K43" s="48">
        <f>IF(D43="","",TODAY()-D43)</f>
        <v/>
      </c>
      <c r="L43" s="48" t="n"/>
    </row>
    <row r="44" ht="15" customHeight="1" s="30">
      <c r="A44" s="48" t="n"/>
      <c r="B44" s="48" t="n"/>
      <c r="C44" s="48" t="n"/>
      <c r="D44" s="53" t="n"/>
      <c r="E44" s="48" t="n"/>
      <c r="F44" s="48" t="n"/>
      <c r="G44" s="48" t="n"/>
      <c r="H44" s="51" t="n"/>
      <c r="I44" s="51" t="n"/>
      <c r="J44" s="48" t="n"/>
      <c r="K44" s="48">
        <f>IF(D44="","",TODAY()-D44)</f>
        <v/>
      </c>
      <c r="L44" s="48" t="n"/>
    </row>
    <row r="45" ht="15" customHeight="1" s="30">
      <c r="A45" s="48" t="n"/>
      <c r="B45" s="48" t="n"/>
      <c r="C45" s="48" t="n"/>
      <c r="D45" s="53" t="n"/>
      <c r="E45" s="48" t="n"/>
      <c r="F45" s="48" t="n"/>
      <c r="G45" s="48" t="n"/>
      <c r="H45" s="51" t="n"/>
      <c r="I45" s="51" t="n"/>
      <c r="J45" s="48" t="n"/>
      <c r="K45" s="48">
        <f>IF(D45="","",TODAY()-D45)</f>
        <v/>
      </c>
      <c r="L45" s="48" t="n"/>
    </row>
    <row r="46" ht="15" customHeight="1" s="30">
      <c r="A46" s="48" t="n"/>
      <c r="B46" s="48" t="n"/>
      <c r="C46" s="48" t="n"/>
      <c r="D46" s="53" t="n"/>
      <c r="E46" s="48" t="n"/>
      <c r="F46" s="48" t="n"/>
      <c r="G46" s="48" t="n"/>
      <c r="H46" s="51" t="n"/>
      <c r="I46" s="51" t="n"/>
      <c r="J46" s="48" t="n"/>
      <c r="K46" s="48">
        <f>IF(D46="","",TODAY()-D46)</f>
        <v/>
      </c>
      <c r="L46" s="48" t="n"/>
    </row>
    <row r="47" ht="15" customHeight="1" s="30">
      <c r="A47" s="48" t="n"/>
      <c r="B47" s="48" t="n"/>
      <c r="C47" s="48" t="n"/>
      <c r="D47" s="53" t="n"/>
      <c r="E47" s="48" t="n"/>
      <c r="F47" s="48" t="n"/>
      <c r="G47" s="48" t="n"/>
      <c r="H47" s="51" t="n"/>
      <c r="I47" s="51" t="n"/>
      <c r="J47" s="48" t="n"/>
      <c r="K47" s="48">
        <f>IF(D47="","",TODAY()-D47)</f>
        <v/>
      </c>
      <c r="L47" s="48" t="n"/>
    </row>
    <row r="48" ht="15" customHeight="1" s="30">
      <c r="A48" s="48" t="n"/>
      <c r="B48" s="48" t="n"/>
      <c r="C48" s="48" t="n"/>
      <c r="D48" s="53" t="n"/>
      <c r="E48" s="48" t="n"/>
      <c r="F48" s="48" t="n"/>
      <c r="G48" s="48" t="n"/>
      <c r="H48" s="51" t="n"/>
      <c r="I48" s="51" t="n"/>
      <c r="J48" s="48" t="n"/>
      <c r="K48" s="48">
        <f>IF(D48="","",TODAY()-D48)</f>
        <v/>
      </c>
      <c r="L48" s="48" t="n"/>
    </row>
    <row r="49" ht="15" customHeight="1" s="30">
      <c r="A49" s="48" t="n"/>
      <c r="B49" s="48" t="n"/>
      <c r="C49" s="48" t="n"/>
      <c r="D49" s="53" t="n"/>
      <c r="E49" s="48" t="n"/>
      <c r="F49" s="48" t="n"/>
      <c r="G49" s="48" t="n"/>
      <c r="H49" s="51" t="n"/>
      <c r="I49" s="51" t="n"/>
      <c r="J49" s="48" t="n"/>
      <c r="K49" s="48">
        <f>IF(D49="","",TODAY()-D49)</f>
        <v/>
      </c>
      <c r="L49" s="48" t="n"/>
    </row>
    <row r="50" ht="15" customHeight="1" s="30">
      <c r="A50" s="48" t="n"/>
      <c r="B50" s="48" t="n"/>
      <c r="C50" s="48" t="n"/>
      <c r="D50" s="53" t="n"/>
      <c r="E50" s="48" t="n"/>
      <c r="F50" s="48" t="n"/>
      <c r="G50" s="48" t="n"/>
      <c r="H50" s="51" t="n"/>
      <c r="I50" s="51" t="n"/>
      <c r="J50" s="48" t="n"/>
      <c r="K50" s="48">
        <f>IF(D50="","",TODAY()-D50)</f>
        <v/>
      </c>
      <c r="L50" s="48" t="n"/>
    </row>
    <row r="51" ht="15" customHeight="1" s="30">
      <c r="A51" s="48" t="n"/>
      <c r="B51" s="48" t="n"/>
      <c r="C51" s="48" t="n"/>
      <c r="D51" s="53" t="n"/>
      <c r="E51" s="48" t="n"/>
      <c r="F51" s="48" t="n"/>
      <c r="G51" s="48" t="n"/>
      <c r="H51" s="51" t="n"/>
      <c r="I51" s="51" t="n"/>
      <c r="J51" s="48" t="n"/>
      <c r="K51" s="48">
        <f>IF(D51="","",TODAY()-D51)</f>
        <v/>
      </c>
      <c r="L51" s="48" t="n"/>
    </row>
    <row r="52" ht="15" customHeight="1" s="30">
      <c r="A52" s="48" t="n"/>
      <c r="B52" s="48" t="n"/>
      <c r="C52" s="48" t="n"/>
      <c r="D52" s="53" t="n"/>
      <c r="E52" s="48" t="n"/>
      <c r="F52" s="48" t="n"/>
      <c r="G52" s="48" t="n"/>
      <c r="H52" s="51" t="n"/>
      <c r="I52" s="51" t="n"/>
      <c r="J52" s="48" t="n"/>
      <c r="K52" s="48">
        <f>IF(D52="","",TODAY()-D52)</f>
        <v/>
      </c>
      <c r="L52" s="48" t="n"/>
    </row>
    <row r="53" ht="15" customHeight="1" s="30">
      <c r="A53" s="48" t="n"/>
      <c r="B53" s="48" t="n"/>
      <c r="C53" s="48" t="n"/>
      <c r="D53" s="53" t="n"/>
      <c r="E53" s="48" t="n"/>
      <c r="F53" s="48" t="n"/>
      <c r="G53" s="48" t="n"/>
      <c r="H53" s="51" t="n"/>
      <c r="I53" s="51" t="n"/>
      <c r="J53" s="48" t="n"/>
      <c r="K53" s="48">
        <f>IF(D53="","",TODAY()-D53)</f>
        <v/>
      </c>
      <c r="L53" s="48" t="n"/>
    </row>
    <row r="54" ht="15" customHeight="1" s="30">
      <c r="A54" s="48" t="n"/>
      <c r="B54" s="48" t="n"/>
      <c r="C54" s="48" t="n"/>
      <c r="D54" s="53" t="n"/>
      <c r="E54" s="48" t="n"/>
      <c r="F54" s="48" t="n"/>
      <c r="G54" s="48" t="n"/>
      <c r="H54" s="51" t="n"/>
      <c r="I54" s="51" t="n"/>
      <c r="J54" s="48" t="n"/>
      <c r="K54" s="48">
        <f>IF(D54="","",TODAY()-D54)</f>
        <v/>
      </c>
      <c r="L54" s="48" t="n"/>
    </row>
    <row r="55" ht="15" customHeight="1" s="30">
      <c r="A55" s="48" t="n"/>
      <c r="B55" s="48" t="n"/>
      <c r="C55" s="48" t="n"/>
      <c r="D55" s="53" t="n"/>
      <c r="E55" s="48" t="n"/>
      <c r="F55" s="48" t="n"/>
      <c r="G55" s="48" t="n"/>
      <c r="H55" s="51" t="n"/>
      <c r="I55" s="51" t="n"/>
      <c r="J55" s="48" t="n"/>
      <c r="K55" s="48">
        <f>IF(D55="","",TODAY()-D55)</f>
        <v/>
      </c>
      <c r="L55" s="48" t="n"/>
    </row>
    <row r="56" ht="15" customHeight="1" s="30">
      <c r="A56" s="48" t="n"/>
      <c r="B56" s="48" t="n"/>
      <c r="C56" s="48" t="n"/>
      <c r="D56" s="53" t="n"/>
      <c r="E56" s="48" t="n"/>
      <c r="F56" s="48" t="n"/>
      <c r="G56" s="48" t="n"/>
      <c r="H56" s="51" t="n"/>
      <c r="I56" s="51" t="n"/>
      <c r="J56" s="48" t="n"/>
      <c r="K56" s="48">
        <f>IF(D56="","",TODAY()-D56)</f>
        <v/>
      </c>
      <c r="L56" s="48" t="n"/>
    </row>
    <row r="57" ht="15" customHeight="1" s="30">
      <c r="A57" s="48" t="n"/>
      <c r="B57" s="48" t="n"/>
      <c r="C57" s="48" t="n"/>
      <c r="D57" s="53" t="n"/>
      <c r="E57" s="48" t="n"/>
      <c r="F57" s="48" t="n"/>
      <c r="G57" s="48" t="n"/>
      <c r="H57" s="51" t="n"/>
      <c r="I57" s="51" t="n"/>
      <c r="J57" s="48" t="n"/>
      <c r="K57" s="48">
        <f>IF(D57="","",TODAY()-D57)</f>
        <v/>
      </c>
      <c r="L57" s="48" t="n"/>
    </row>
    <row r="58" ht="15" customHeight="1" s="30">
      <c r="A58" s="48" t="n"/>
      <c r="B58" s="48" t="n"/>
      <c r="C58" s="48" t="n"/>
      <c r="D58" s="53" t="n"/>
      <c r="E58" s="48" t="n"/>
      <c r="F58" s="48" t="n"/>
      <c r="G58" s="48" t="n"/>
      <c r="H58" s="51" t="n"/>
      <c r="I58" s="51" t="n"/>
      <c r="J58" s="48" t="n"/>
      <c r="K58" s="48">
        <f>IF(D58="","",TODAY()-D58)</f>
        <v/>
      </c>
      <c r="L58" s="48" t="n"/>
    </row>
    <row r="59" ht="15" customHeight="1" s="30">
      <c r="A59" s="48" t="n"/>
      <c r="B59" s="48" t="n"/>
      <c r="C59" s="48" t="n"/>
      <c r="D59" s="53" t="n"/>
      <c r="E59" s="48" t="n"/>
      <c r="F59" s="48" t="n"/>
      <c r="G59" s="48" t="n"/>
      <c r="H59" s="51" t="n"/>
      <c r="I59" s="51" t="n"/>
      <c r="J59" s="48" t="n"/>
      <c r="K59" s="48">
        <f>IF(D59="","",TODAY()-D59)</f>
        <v/>
      </c>
      <c r="L59" s="48" t="n"/>
    </row>
    <row r="60" ht="15" customHeight="1" s="30">
      <c r="A60" s="48" t="n"/>
      <c r="B60" s="48" t="n"/>
      <c r="C60" s="48" t="n"/>
      <c r="D60" s="53" t="n"/>
      <c r="E60" s="48" t="n"/>
      <c r="F60" s="48" t="n"/>
      <c r="G60" s="48" t="n"/>
      <c r="H60" s="51" t="n"/>
      <c r="I60" s="51" t="n"/>
      <c r="J60" s="48" t="n"/>
      <c r="K60" s="48">
        <f>IF(D60="","",TODAY()-D60)</f>
        <v/>
      </c>
      <c r="L60" s="48" t="n"/>
    </row>
    <row r="61" ht="15" customHeight="1" s="30">
      <c r="A61" s="48" t="n"/>
      <c r="B61" s="48" t="n"/>
      <c r="C61" s="48" t="n"/>
      <c r="D61" s="53" t="n"/>
      <c r="E61" s="48" t="n"/>
      <c r="F61" s="48" t="n"/>
      <c r="G61" s="48" t="n"/>
      <c r="H61" s="51" t="n"/>
      <c r="I61" s="51" t="n"/>
      <c r="J61" s="48" t="n"/>
      <c r="K61" s="48">
        <f>IF(D61="","",TODAY()-D61)</f>
        <v/>
      </c>
      <c r="L61" s="48" t="n"/>
    </row>
    <row r="62" ht="15" customHeight="1" s="30">
      <c r="A62" s="48" t="n"/>
      <c r="B62" s="48" t="n"/>
      <c r="C62" s="48" t="n"/>
      <c r="D62" s="53" t="n"/>
      <c r="E62" s="48" t="n"/>
      <c r="F62" s="48" t="n"/>
      <c r="G62" s="48" t="n"/>
      <c r="H62" s="51" t="n"/>
      <c r="I62" s="51" t="n"/>
      <c r="J62" s="48" t="n"/>
      <c r="K62" s="48">
        <f>IF(D62="","",TODAY()-D62)</f>
        <v/>
      </c>
      <c r="L62" s="48" t="n"/>
    </row>
    <row r="63" ht="15" customHeight="1" s="30">
      <c r="A63" s="48" t="n"/>
      <c r="B63" s="48" t="n"/>
      <c r="C63" s="48" t="n"/>
      <c r="D63" s="53" t="n"/>
      <c r="E63" s="48" t="n"/>
      <c r="F63" s="48" t="n"/>
      <c r="G63" s="48" t="n"/>
      <c r="H63" s="51" t="n"/>
      <c r="I63" s="51" t="n"/>
      <c r="J63" s="48" t="n"/>
      <c r="K63" s="48">
        <f>IF(D63="","",TODAY()-D63)</f>
        <v/>
      </c>
      <c r="L63" s="48" t="n"/>
    </row>
    <row r="64" ht="15" customHeight="1" s="30">
      <c r="A64" s="48" t="n"/>
      <c r="B64" s="48" t="n"/>
      <c r="C64" s="48" t="n"/>
      <c r="D64" s="53" t="n"/>
      <c r="E64" s="48" t="n"/>
      <c r="F64" s="48" t="n"/>
      <c r="G64" s="48" t="n"/>
      <c r="H64" s="51" t="n"/>
      <c r="I64" s="51" t="n"/>
      <c r="J64" s="48" t="n"/>
      <c r="K64" s="48">
        <f>IF(D64="","",TODAY()-D64)</f>
        <v/>
      </c>
      <c r="L64" s="48" t="n"/>
    </row>
  </sheetData>
  <autoFilter ref="A4:L64"/>
  <dataValidations count="1">
    <dataValidation sqref="B5:B64" showDropDown="0" showInputMessage="0" showErrorMessage="0" allowBlank="1" type="list" errorStyle="stop" operator="between">
      <formula1>"Factura cliente,Factura proveedor,Nota crédito cliente,Nota crédito proveedor,Pago sin conciliar,Línea en suspenso,Cuenta puente"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tabColor rgb="FF452E27"/>
    <outlinePr summaryBelow="1" summaryRight="1"/>
    <pageSetUpPr fitToPage="0"/>
  </sheetPr>
  <dimension ref="A1:T6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9" min="1" max="1"/>
    <col width="9" customWidth="1" style="29" min="2" max="2"/>
    <col width="11" customWidth="1" style="29" min="3" max="3"/>
    <col width="34" customWidth="1" style="29" min="4" max="4"/>
    <col width="13" customWidth="1" style="29" min="5" max="5"/>
    <col width="10" customWidth="1" style="29" min="6" max="6"/>
    <col width="34" customWidth="1" style="29" min="7" max="7"/>
    <col width="24" customWidth="1" style="29" min="8" max="8"/>
    <col width="13" customWidth="1" style="29" min="9" max="9"/>
    <col width="11" customWidth="1" style="29" min="10" max="10"/>
    <col width="22" customWidth="1" style="29" min="11" max="11"/>
    <col width="8" customWidth="1" style="29" min="12" max="12"/>
    <col width="10" customWidth="1" style="29" min="13" max="13"/>
    <col width="24" customWidth="1" style="29" min="14" max="14"/>
    <col width="30" customWidth="1" style="29" min="15" max="15"/>
    <col width="11" customWidth="1" style="29" min="16" max="16"/>
    <col width="28" customWidth="1" style="29" min="17" max="17"/>
    <col width="12" customWidth="1" style="29" min="18" max="18"/>
    <col width="16" customWidth="1" style="29" min="19" max="19"/>
    <col width="10" customWidth="1" style="29" min="20" max="20"/>
  </cols>
  <sheetData>
    <row r="1" ht="19.7" customHeight="1" s="30">
      <c r="A1" s="31" t="inlineStr">
        <is>
          <t>Propuesta de conciliación</t>
        </is>
      </c>
    </row>
    <row r="2" ht="15" customHeight="1" s="30">
      <c r="A2" s="32" t="inlineStr">
        <is>
          <t>Hoja central. La skill aplica solo filas con Aprobado = Sí y confianza Alta o Media, o Baja con comentario.</t>
        </is>
      </c>
    </row>
    <row r="4" ht="33.75" customHeight="1" s="30">
      <c r="A4" s="44" t="inlineStr">
        <is>
          <t>ID prop.</t>
        </is>
      </c>
      <c r="B4" s="44" t="inlineStr">
        <is>
          <t>ID mov. banco</t>
        </is>
      </c>
      <c r="C4" s="44" t="inlineStr">
        <is>
          <t>Fecha banco</t>
        </is>
      </c>
      <c r="D4" s="44" t="inlineStr">
        <is>
          <t>Concepto banco</t>
        </is>
      </c>
      <c r="E4" s="44" t="inlineStr">
        <is>
          <t>Importe banco</t>
        </is>
      </c>
      <c r="F4" s="44" t="inlineStr">
        <is>
          <t>Relación</t>
        </is>
      </c>
      <c r="G4" s="44" t="inlineStr">
        <is>
          <t>Documentos Odoo propuestos</t>
        </is>
      </c>
      <c r="H4" s="44" t="inlineStr">
        <is>
          <t>Partner</t>
        </is>
      </c>
      <c r="I4" s="44" t="inlineStr">
        <is>
          <t>Importe documentos</t>
        </is>
      </c>
      <c r="J4" s="44" t="inlineStr">
        <is>
          <t>Diferencia</t>
        </is>
      </c>
      <c r="K4" s="44" t="inlineStr">
        <is>
          <t>Tratamiento de la diferencia</t>
        </is>
      </c>
      <c r="L4" s="44" t="inlineStr">
        <is>
          <t>Regla</t>
        </is>
      </c>
      <c r="M4" s="44" t="inlineStr">
        <is>
          <t>Confianza</t>
        </is>
      </c>
      <c r="N4" s="44" t="inlineStr">
        <is>
          <t>Contrapartida (si no es factura)</t>
        </is>
      </c>
      <c r="O4" s="44" t="inlineStr">
        <is>
          <t>Acción propuesta</t>
        </is>
      </c>
      <c r="P4" s="45" t="inlineStr">
        <is>
          <t>Aprobado</t>
        </is>
      </c>
      <c r="Q4" s="45" t="inlineStr">
        <is>
          <t>Comentario del usuario</t>
        </is>
      </c>
      <c r="R4" s="44" t="inlineStr">
        <is>
          <t>Estado</t>
        </is>
      </c>
      <c r="S4" s="44" t="inlineStr">
        <is>
          <t>IDs resultado</t>
        </is>
      </c>
      <c r="T4" s="44" t="inlineStr">
        <is>
          <t>Verificado</t>
        </is>
      </c>
    </row>
    <row r="5" ht="23.85" customHeight="1" s="30">
      <c r="A5" s="46" t="inlineStr">
        <is>
          <t>P001</t>
        </is>
      </c>
      <c r="B5" s="46" t="inlineStr">
        <is>
          <t>M045</t>
        </is>
      </c>
      <c r="C5" s="50" t="n">
        <v>46220</v>
      </c>
      <c r="D5" s="46" t="inlineStr">
        <is>
          <t>N06 PAGO CUENTA DE TERCERO RFC:RDE841003AB1</t>
        </is>
      </c>
      <c r="E5" s="52" t="n">
        <v>-573.87</v>
      </c>
      <c r="F5" s="46" t="inlineStr">
        <is>
          <t>1:1</t>
        </is>
      </c>
      <c r="G5" s="46" t="inlineStr">
        <is>
          <t>BILL1/2026/07/0021 (REP 144.00 + 429.87)</t>
        </is>
      </c>
      <c r="H5" s="46" t="inlineStr">
        <is>
          <t>GASOLINERA DEMO / RDE841003AB1</t>
        </is>
      </c>
      <c r="I5" s="52" t="n">
        <v>-573.87</v>
      </c>
      <c r="J5" s="51">
        <f>IF(OR(E5="",I5=""),"",ROUND(E5-I5,2))</f>
        <v/>
      </c>
      <c r="K5" s="46" t="inlineStr">
        <is>
          <t>Sin diferencia</t>
        </is>
      </c>
      <c r="L5" s="46" t="inlineStr">
        <is>
          <t>R02</t>
        </is>
      </c>
      <c r="M5" s="46" t="inlineStr">
        <is>
          <t>Alta</t>
        </is>
      </c>
      <c r="N5" s="46" t="n"/>
      <c r="O5" s="46" t="inlineStr">
        <is>
          <t>Conciliar pago contra factura y adjuntar 2 REP</t>
        </is>
      </c>
      <c r="P5" s="47" t="inlineStr">
        <is>
          <t>Sí</t>
        </is>
      </c>
      <c r="Q5" s="47" t="n"/>
      <c r="R5" s="46" t="inlineStr">
        <is>
          <t>Aplicado</t>
        </is>
      </c>
      <c r="S5" s="46" t="inlineStr">
        <is>
          <t>PAY00004</t>
        </is>
      </c>
      <c r="T5" s="46" t="inlineStr">
        <is>
          <t>Sí</t>
        </is>
      </c>
    </row>
    <row r="6" ht="15" customHeight="1" s="30">
      <c r="A6" s="48" t="n"/>
      <c r="B6" s="48" t="n"/>
      <c r="C6" s="53" t="n"/>
      <c r="D6" s="48" t="n"/>
      <c r="E6" s="51" t="n"/>
      <c r="F6" s="48" t="n"/>
      <c r="G6" s="48" t="n"/>
      <c r="H6" s="48" t="n"/>
      <c r="I6" s="51" t="n"/>
      <c r="J6" s="51">
        <f>IF(OR(E6="",I6=""),"",ROUND(E6-I6,2))</f>
        <v/>
      </c>
      <c r="K6" s="48" t="n"/>
      <c r="L6" s="48" t="n"/>
      <c r="M6" s="48" t="n"/>
      <c r="N6" s="48" t="n"/>
      <c r="O6" s="48" t="n"/>
      <c r="P6" s="49" t="n"/>
      <c r="Q6" s="49" t="n"/>
      <c r="R6" s="48" t="n"/>
      <c r="S6" s="48" t="n"/>
      <c r="T6" s="48" t="n"/>
    </row>
    <row r="7" ht="15" customHeight="1" s="30">
      <c r="A7" s="48" t="n"/>
      <c r="B7" s="48" t="n"/>
      <c r="C7" s="53" t="n"/>
      <c r="D7" s="48" t="n"/>
      <c r="E7" s="51" t="n"/>
      <c r="F7" s="48" t="n"/>
      <c r="G7" s="48" t="n"/>
      <c r="H7" s="48" t="n"/>
      <c r="I7" s="51" t="n"/>
      <c r="J7" s="51">
        <f>IF(OR(E7="",I7=""),"",ROUND(E7-I7,2))</f>
        <v/>
      </c>
      <c r="K7" s="48" t="n"/>
      <c r="L7" s="48" t="n"/>
      <c r="M7" s="48" t="n"/>
      <c r="N7" s="48" t="n"/>
      <c r="O7" s="48" t="n"/>
      <c r="P7" s="49" t="n"/>
      <c r="Q7" s="49" t="n"/>
      <c r="R7" s="48" t="n"/>
      <c r="S7" s="48" t="n"/>
      <c r="T7" s="48" t="n"/>
    </row>
    <row r="8" ht="15" customHeight="1" s="30">
      <c r="A8" s="48" t="n"/>
      <c r="B8" s="48" t="n"/>
      <c r="C8" s="53" t="n"/>
      <c r="D8" s="48" t="n"/>
      <c r="E8" s="51" t="n"/>
      <c r="F8" s="48" t="n"/>
      <c r="G8" s="48" t="n"/>
      <c r="H8" s="48" t="n"/>
      <c r="I8" s="51" t="n"/>
      <c r="J8" s="51">
        <f>IF(OR(E8="",I8=""),"",ROUND(E8-I8,2))</f>
        <v/>
      </c>
      <c r="K8" s="48" t="n"/>
      <c r="L8" s="48" t="n"/>
      <c r="M8" s="48" t="n"/>
      <c r="N8" s="48" t="n"/>
      <c r="O8" s="48" t="n"/>
      <c r="P8" s="49" t="n"/>
      <c r="Q8" s="49" t="n"/>
      <c r="R8" s="48" t="n"/>
      <c r="S8" s="48" t="n"/>
      <c r="T8" s="48" t="n"/>
    </row>
    <row r="9" ht="15" customHeight="1" s="30">
      <c r="A9" s="48" t="n"/>
      <c r="B9" s="48" t="n"/>
      <c r="C9" s="53" t="n"/>
      <c r="D9" s="48" t="n"/>
      <c r="E9" s="51" t="n"/>
      <c r="F9" s="48" t="n"/>
      <c r="G9" s="48" t="n"/>
      <c r="H9" s="48" t="n"/>
      <c r="I9" s="51" t="n"/>
      <c r="J9" s="51">
        <f>IF(OR(E9="",I9=""),"",ROUND(E9-I9,2))</f>
        <v/>
      </c>
      <c r="K9" s="48" t="n"/>
      <c r="L9" s="48" t="n"/>
      <c r="M9" s="48" t="n"/>
      <c r="N9" s="48" t="n"/>
      <c r="O9" s="48" t="n"/>
      <c r="P9" s="49" t="n"/>
      <c r="Q9" s="49" t="n"/>
      <c r="R9" s="48" t="n"/>
      <c r="S9" s="48" t="n"/>
      <c r="T9" s="48" t="n"/>
    </row>
    <row r="10" ht="15" customHeight="1" s="30">
      <c r="A10" s="48" t="n"/>
      <c r="B10" s="48" t="n"/>
      <c r="C10" s="53" t="n"/>
      <c r="D10" s="48" t="n"/>
      <c r="E10" s="51" t="n"/>
      <c r="F10" s="48" t="n"/>
      <c r="G10" s="48" t="n"/>
      <c r="H10" s="48" t="n"/>
      <c r="I10" s="51" t="n"/>
      <c r="J10" s="51">
        <f>IF(OR(E10="",I10=""),"",ROUND(E10-I10,2))</f>
        <v/>
      </c>
      <c r="K10" s="48" t="n"/>
      <c r="L10" s="48" t="n"/>
      <c r="M10" s="48" t="n"/>
      <c r="N10" s="48" t="n"/>
      <c r="O10" s="48" t="n"/>
      <c r="P10" s="49" t="n"/>
      <c r="Q10" s="49" t="n"/>
      <c r="R10" s="48" t="n"/>
      <c r="S10" s="48" t="n"/>
      <c r="T10" s="48" t="n"/>
    </row>
    <row r="11" ht="15" customHeight="1" s="30">
      <c r="A11" s="48" t="n"/>
      <c r="B11" s="48" t="n"/>
      <c r="C11" s="53" t="n"/>
      <c r="D11" s="48" t="n"/>
      <c r="E11" s="51" t="n"/>
      <c r="F11" s="48" t="n"/>
      <c r="G11" s="48" t="n"/>
      <c r="H11" s="48" t="n"/>
      <c r="I11" s="51" t="n"/>
      <c r="J11" s="51">
        <f>IF(OR(E11="",I11=""),"",ROUND(E11-I11,2))</f>
        <v/>
      </c>
      <c r="K11" s="48" t="n"/>
      <c r="L11" s="48" t="n"/>
      <c r="M11" s="48" t="n"/>
      <c r="N11" s="48" t="n"/>
      <c r="O11" s="48" t="n"/>
      <c r="P11" s="49" t="n"/>
      <c r="Q11" s="49" t="n"/>
      <c r="R11" s="48" t="n"/>
      <c r="S11" s="48" t="n"/>
      <c r="T11" s="48" t="n"/>
    </row>
    <row r="12" ht="15" customHeight="1" s="30">
      <c r="A12" s="48" t="n"/>
      <c r="B12" s="48" t="n"/>
      <c r="C12" s="53" t="n"/>
      <c r="D12" s="48" t="n"/>
      <c r="E12" s="51" t="n"/>
      <c r="F12" s="48" t="n"/>
      <c r="G12" s="48" t="n"/>
      <c r="H12" s="48" t="n"/>
      <c r="I12" s="51" t="n"/>
      <c r="J12" s="51">
        <f>IF(OR(E12="",I12=""),"",ROUND(E12-I12,2))</f>
        <v/>
      </c>
      <c r="K12" s="48" t="n"/>
      <c r="L12" s="48" t="n"/>
      <c r="M12" s="48" t="n"/>
      <c r="N12" s="48" t="n"/>
      <c r="O12" s="48" t="n"/>
      <c r="P12" s="49" t="n"/>
      <c r="Q12" s="49" t="n"/>
      <c r="R12" s="48" t="n"/>
      <c r="S12" s="48" t="n"/>
      <c r="T12" s="48" t="n"/>
    </row>
    <row r="13" ht="15" customHeight="1" s="30">
      <c r="A13" s="48" t="n"/>
      <c r="B13" s="48" t="n"/>
      <c r="C13" s="53" t="n"/>
      <c r="D13" s="48" t="n"/>
      <c r="E13" s="51" t="n"/>
      <c r="F13" s="48" t="n"/>
      <c r="G13" s="48" t="n"/>
      <c r="H13" s="48" t="n"/>
      <c r="I13" s="51" t="n"/>
      <c r="J13" s="51">
        <f>IF(OR(E13="",I13=""),"",ROUND(E13-I13,2))</f>
        <v/>
      </c>
      <c r="K13" s="48" t="n"/>
      <c r="L13" s="48" t="n"/>
      <c r="M13" s="48" t="n"/>
      <c r="N13" s="48" t="n"/>
      <c r="O13" s="48" t="n"/>
      <c r="P13" s="49" t="n"/>
      <c r="Q13" s="49" t="n"/>
      <c r="R13" s="48" t="n"/>
      <c r="S13" s="48" t="n"/>
      <c r="T13" s="48" t="n"/>
    </row>
    <row r="14" ht="15" customHeight="1" s="30">
      <c r="A14" s="48" t="n"/>
      <c r="B14" s="48" t="n"/>
      <c r="C14" s="53" t="n"/>
      <c r="D14" s="48" t="n"/>
      <c r="E14" s="51" t="n"/>
      <c r="F14" s="48" t="n"/>
      <c r="G14" s="48" t="n"/>
      <c r="H14" s="48" t="n"/>
      <c r="I14" s="51" t="n"/>
      <c r="J14" s="51">
        <f>IF(OR(E14="",I14=""),"",ROUND(E14-I14,2))</f>
        <v/>
      </c>
      <c r="K14" s="48" t="n"/>
      <c r="L14" s="48" t="n"/>
      <c r="M14" s="48" t="n"/>
      <c r="N14" s="48" t="n"/>
      <c r="O14" s="48" t="n"/>
      <c r="P14" s="49" t="n"/>
      <c r="Q14" s="49" t="n"/>
      <c r="R14" s="48" t="n"/>
      <c r="S14" s="48" t="n"/>
      <c r="T14" s="48" t="n"/>
    </row>
    <row r="15" ht="15" customHeight="1" s="30">
      <c r="A15" s="48" t="n"/>
      <c r="B15" s="48" t="n"/>
      <c r="C15" s="53" t="n"/>
      <c r="D15" s="48" t="n"/>
      <c r="E15" s="51" t="n"/>
      <c r="F15" s="48" t="n"/>
      <c r="G15" s="48" t="n"/>
      <c r="H15" s="48" t="n"/>
      <c r="I15" s="51" t="n"/>
      <c r="J15" s="51">
        <f>IF(OR(E15="",I15=""),"",ROUND(E15-I15,2))</f>
        <v/>
      </c>
      <c r="K15" s="48" t="n"/>
      <c r="L15" s="48" t="n"/>
      <c r="M15" s="48" t="n"/>
      <c r="N15" s="48" t="n"/>
      <c r="O15" s="48" t="n"/>
      <c r="P15" s="49" t="n"/>
      <c r="Q15" s="49" t="n"/>
      <c r="R15" s="48" t="n"/>
      <c r="S15" s="48" t="n"/>
      <c r="T15" s="48" t="n"/>
    </row>
    <row r="16" ht="15" customHeight="1" s="30">
      <c r="A16" s="48" t="n"/>
      <c r="B16" s="48" t="n"/>
      <c r="C16" s="53" t="n"/>
      <c r="D16" s="48" t="n"/>
      <c r="E16" s="51" t="n"/>
      <c r="F16" s="48" t="n"/>
      <c r="G16" s="48" t="n"/>
      <c r="H16" s="48" t="n"/>
      <c r="I16" s="51" t="n"/>
      <c r="J16" s="51">
        <f>IF(OR(E16="",I16=""),"",ROUND(E16-I16,2))</f>
        <v/>
      </c>
      <c r="K16" s="48" t="n"/>
      <c r="L16" s="48" t="n"/>
      <c r="M16" s="48" t="n"/>
      <c r="N16" s="48" t="n"/>
      <c r="O16" s="48" t="n"/>
      <c r="P16" s="49" t="n"/>
      <c r="Q16" s="49" t="n"/>
      <c r="R16" s="48" t="n"/>
      <c r="S16" s="48" t="n"/>
      <c r="T16" s="48" t="n"/>
    </row>
    <row r="17" ht="15" customHeight="1" s="30">
      <c r="A17" s="48" t="n"/>
      <c r="B17" s="48" t="n"/>
      <c r="C17" s="53" t="n"/>
      <c r="D17" s="48" t="n"/>
      <c r="E17" s="51" t="n"/>
      <c r="F17" s="48" t="n"/>
      <c r="G17" s="48" t="n"/>
      <c r="H17" s="48" t="n"/>
      <c r="I17" s="51" t="n"/>
      <c r="J17" s="51">
        <f>IF(OR(E17="",I17=""),"",ROUND(E17-I17,2))</f>
        <v/>
      </c>
      <c r="K17" s="48" t="n"/>
      <c r="L17" s="48" t="n"/>
      <c r="M17" s="48" t="n"/>
      <c r="N17" s="48" t="n"/>
      <c r="O17" s="48" t="n"/>
      <c r="P17" s="49" t="n"/>
      <c r="Q17" s="49" t="n"/>
      <c r="R17" s="48" t="n"/>
      <c r="S17" s="48" t="n"/>
      <c r="T17" s="48" t="n"/>
    </row>
    <row r="18" ht="15" customHeight="1" s="30">
      <c r="A18" s="48" t="n"/>
      <c r="B18" s="48" t="n"/>
      <c r="C18" s="53" t="n"/>
      <c r="D18" s="48" t="n"/>
      <c r="E18" s="51" t="n"/>
      <c r="F18" s="48" t="n"/>
      <c r="G18" s="48" t="n"/>
      <c r="H18" s="48" t="n"/>
      <c r="I18" s="51" t="n"/>
      <c r="J18" s="51">
        <f>IF(OR(E18="",I18=""),"",ROUND(E18-I18,2))</f>
        <v/>
      </c>
      <c r="K18" s="48" t="n"/>
      <c r="L18" s="48" t="n"/>
      <c r="M18" s="48" t="n"/>
      <c r="N18" s="48" t="n"/>
      <c r="O18" s="48" t="n"/>
      <c r="P18" s="49" t="n"/>
      <c r="Q18" s="49" t="n"/>
      <c r="R18" s="48" t="n"/>
      <c r="S18" s="48" t="n"/>
      <c r="T18" s="48" t="n"/>
    </row>
    <row r="19" ht="15" customHeight="1" s="30">
      <c r="A19" s="48" t="n"/>
      <c r="B19" s="48" t="n"/>
      <c r="C19" s="53" t="n"/>
      <c r="D19" s="48" t="n"/>
      <c r="E19" s="51" t="n"/>
      <c r="F19" s="48" t="n"/>
      <c r="G19" s="48" t="n"/>
      <c r="H19" s="48" t="n"/>
      <c r="I19" s="51" t="n"/>
      <c r="J19" s="51">
        <f>IF(OR(E19="",I19=""),"",ROUND(E19-I19,2))</f>
        <v/>
      </c>
      <c r="K19" s="48" t="n"/>
      <c r="L19" s="48" t="n"/>
      <c r="M19" s="48" t="n"/>
      <c r="N19" s="48" t="n"/>
      <c r="O19" s="48" t="n"/>
      <c r="P19" s="49" t="n"/>
      <c r="Q19" s="49" t="n"/>
      <c r="R19" s="48" t="n"/>
      <c r="S19" s="48" t="n"/>
      <c r="T19" s="48" t="n"/>
    </row>
    <row r="20" ht="15" customHeight="1" s="30">
      <c r="A20" s="48" t="n"/>
      <c r="B20" s="48" t="n"/>
      <c r="C20" s="53" t="n"/>
      <c r="D20" s="48" t="n"/>
      <c r="E20" s="51" t="n"/>
      <c r="F20" s="48" t="n"/>
      <c r="G20" s="48" t="n"/>
      <c r="H20" s="48" t="n"/>
      <c r="I20" s="51" t="n"/>
      <c r="J20" s="51">
        <f>IF(OR(E20="",I20=""),"",ROUND(E20-I20,2))</f>
        <v/>
      </c>
      <c r="K20" s="48" t="n"/>
      <c r="L20" s="48" t="n"/>
      <c r="M20" s="48" t="n"/>
      <c r="N20" s="48" t="n"/>
      <c r="O20" s="48" t="n"/>
      <c r="P20" s="49" t="n"/>
      <c r="Q20" s="49" t="n"/>
      <c r="R20" s="48" t="n"/>
      <c r="S20" s="48" t="n"/>
      <c r="T20" s="48" t="n"/>
    </row>
    <row r="21" ht="15" customHeight="1" s="30">
      <c r="A21" s="48" t="n"/>
      <c r="B21" s="48" t="n"/>
      <c r="C21" s="53" t="n"/>
      <c r="D21" s="48" t="n"/>
      <c r="E21" s="51" t="n"/>
      <c r="F21" s="48" t="n"/>
      <c r="G21" s="48" t="n"/>
      <c r="H21" s="48" t="n"/>
      <c r="I21" s="51" t="n"/>
      <c r="J21" s="51">
        <f>IF(OR(E21="",I21=""),"",ROUND(E21-I21,2))</f>
        <v/>
      </c>
      <c r="K21" s="48" t="n"/>
      <c r="L21" s="48" t="n"/>
      <c r="M21" s="48" t="n"/>
      <c r="N21" s="48" t="n"/>
      <c r="O21" s="48" t="n"/>
      <c r="P21" s="49" t="n"/>
      <c r="Q21" s="49" t="n"/>
      <c r="R21" s="48" t="n"/>
      <c r="S21" s="48" t="n"/>
      <c r="T21" s="48" t="n"/>
    </row>
    <row r="22" ht="15" customHeight="1" s="30">
      <c r="A22" s="48" t="n"/>
      <c r="B22" s="48" t="n"/>
      <c r="C22" s="53" t="n"/>
      <c r="D22" s="48" t="n"/>
      <c r="E22" s="51" t="n"/>
      <c r="F22" s="48" t="n"/>
      <c r="G22" s="48" t="n"/>
      <c r="H22" s="48" t="n"/>
      <c r="I22" s="51" t="n"/>
      <c r="J22" s="51">
        <f>IF(OR(E22="",I22=""),"",ROUND(E22-I22,2))</f>
        <v/>
      </c>
      <c r="K22" s="48" t="n"/>
      <c r="L22" s="48" t="n"/>
      <c r="M22" s="48" t="n"/>
      <c r="N22" s="48" t="n"/>
      <c r="O22" s="48" t="n"/>
      <c r="P22" s="49" t="n"/>
      <c r="Q22" s="49" t="n"/>
      <c r="R22" s="48" t="n"/>
      <c r="S22" s="48" t="n"/>
      <c r="T22" s="48" t="n"/>
    </row>
    <row r="23" ht="15" customHeight="1" s="30">
      <c r="A23" s="48" t="n"/>
      <c r="B23" s="48" t="n"/>
      <c r="C23" s="53" t="n"/>
      <c r="D23" s="48" t="n"/>
      <c r="E23" s="51" t="n"/>
      <c r="F23" s="48" t="n"/>
      <c r="G23" s="48" t="n"/>
      <c r="H23" s="48" t="n"/>
      <c r="I23" s="51" t="n"/>
      <c r="J23" s="51">
        <f>IF(OR(E23="",I23=""),"",ROUND(E23-I23,2))</f>
        <v/>
      </c>
      <c r="K23" s="48" t="n"/>
      <c r="L23" s="48" t="n"/>
      <c r="M23" s="48" t="n"/>
      <c r="N23" s="48" t="n"/>
      <c r="O23" s="48" t="n"/>
      <c r="P23" s="49" t="n"/>
      <c r="Q23" s="49" t="n"/>
      <c r="R23" s="48" t="n"/>
      <c r="S23" s="48" t="n"/>
      <c r="T23" s="48" t="n"/>
    </row>
    <row r="24" ht="15" customHeight="1" s="30">
      <c r="A24" s="48" t="n"/>
      <c r="B24" s="48" t="n"/>
      <c r="C24" s="53" t="n"/>
      <c r="D24" s="48" t="n"/>
      <c r="E24" s="51" t="n"/>
      <c r="F24" s="48" t="n"/>
      <c r="G24" s="48" t="n"/>
      <c r="H24" s="48" t="n"/>
      <c r="I24" s="51" t="n"/>
      <c r="J24" s="51">
        <f>IF(OR(E24="",I24=""),"",ROUND(E24-I24,2))</f>
        <v/>
      </c>
      <c r="K24" s="48" t="n"/>
      <c r="L24" s="48" t="n"/>
      <c r="M24" s="48" t="n"/>
      <c r="N24" s="48" t="n"/>
      <c r="O24" s="48" t="n"/>
      <c r="P24" s="49" t="n"/>
      <c r="Q24" s="49" t="n"/>
      <c r="R24" s="48" t="n"/>
      <c r="S24" s="48" t="n"/>
      <c r="T24" s="48" t="n"/>
    </row>
    <row r="25" ht="15" customHeight="1" s="30">
      <c r="A25" s="48" t="n"/>
      <c r="B25" s="48" t="n"/>
      <c r="C25" s="53" t="n"/>
      <c r="D25" s="48" t="n"/>
      <c r="E25" s="51" t="n"/>
      <c r="F25" s="48" t="n"/>
      <c r="G25" s="48" t="n"/>
      <c r="H25" s="48" t="n"/>
      <c r="I25" s="51" t="n"/>
      <c r="J25" s="51">
        <f>IF(OR(E25="",I25=""),"",ROUND(E25-I25,2))</f>
        <v/>
      </c>
      <c r="K25" s="48" t="n"/>
      <c r="L25" s="48" t="n"/>
      <c r="M25" s="48" t="n"/>
      <c r="N25" s="48" t="n"/>
      <c r="O25" s="48" t="n"/>
      <c r="P25" s="49" t="n"/>
      <c r="Q25" s="49" t="n"/>
      <c r="R25" s="48" t="n"/>
      <c r="S25" s="48" t="n"/>
      <c r="T25" s="48" t="n"/>
    </row>
    <row r="26" ht="15" customHeight="1" s="30">
      <c r="A26" s="48" t="n"/>
      <c r="B26" s="48" t="n"/>
      <c r="C26" s="53" t="n"/>
      <c r="D26" s="48" t="n"/>
      <c r="E26" s="51" t="n"/>
      <c r="F26" s="48" t="n"/>
      <c r="G26" s="48" t="n"/>
      <c r="H26" s="48" t="n"/>
      <c r="I26" s="51" t="n"/>
      <c r="J26" s="51">
        <f>IF(OR(E26="",I26=""),"",ROUND(E26-I26,2))</f>
        <v/>
      </c>
      <c r="K26" s="48" t="n"/>
      <c r="L26" s="48" t="n"/>
      <c r="M26" s="48" t="n"/>
      <c r="N26" s="48" t="n"/>
      <c r="O26" s="48" t="n"/>
      <c r="P26" s="49" t="n"/>
      <c r="Q26" s="49" t="n"/>
      <c r="R26" s="48" t="n"/>
      <c r="S26" s="48" t="n"/>
      <c r="T26" s="48" t="n"/>
    </row>
    <row r="27" ht="15" customHeight="1" s="30">
      <c r="A27" s="48" t="n"/>
      <c r="B27" s="48" t="n"/>
      <c r="C27" s="53" t="n"/>
      <c r="D27" s="48" t="n"/>
      <c r="E27" s="51" t="n"/>
      <c r="F27" s="48" t="n"/>
      <c r="G27" s="48" t="n"/>
      <c r="H27" s="48" t="n"/>
      <c r="I27" s="51" t="n"/>
      <c r="J27" s="51">
        <f>IF(OR(E27="",I27=""),"",ROUND(E27-I27,2))</f>
        <v/>
      </c>
      <c r="K27" s="48" t="n"/>
      <c r="L27" s="48" t="n"/>
      <c r="M27" s="48" t="n"/>
      <c r="N27" s="48" t="n"/>
      <c r="O27" s="48" t="n"/>
      <c r="P27" s="49" t="n"/>
      <c r="Q27" s="49" t="n"/>
      <c r="R27" s="48" t="n"/>
      <c r="S27" s="48" t="n"/>
      <c r="T27" s="48" t="n"/>
    </row>
    <row r="28" ht="15" customHeight="1" s="30">
      <c r="A28" s="48" t="n"/>
      <c r="B28" s="48" t="n"/>
      <c r="C28" s="53" t="n"/>
      <c r="D28" s="48" t="n"/>
      <c r="E28" s="51" t="n"/>
      <c r="F28" s="48" t="n"/>
      <c r="G28" s="48" t="n"/>
      <c r="H28" s="48" t="n"/>
      <c r="I28" s="51" t="n"/>
      <c r="J28" s="51">
        <f>IF(OR(E28="",I28=""),"",ROUND(E28-I28,2))</f>
        <v/>
      </c>
      <c r="K28" s="48" t="n"/>
      <c r="L28" s="48" t="n"/>
      <c r="M28" s="48" t="n"/>
      <c r="N28" s="48" t="n"/>
      <c r="O28" s="48" t="n"/>
      <c r="P28" s="49" t="n"/>
      <c r="Q28" s="49" t="n"/>
      <c r="R28" s="48" t="n"/>
      <c r="S28" s="48" t="n"/>
      <c r="T28" s="48" t="n"/>
    </row>
    <row r="29" ht="15" customHeight="1" s="30">
      <c r="A29" s="48" t="n"/>
      <c r="B29" s="48" t="n"/>
      <c r="C29" s="53" t="n"/>
      <c r="D29" s="48" t="n"/>
      <c r="E29" s="51" t="n"/>
      <c r="F29" s="48" t="n"/>
      <c r="G29" s="48" t="n"/>
      <c r="H29" s="48" t="n"/>
      <c r="I29" s="51" t="n"/>
      <c r="J29" s="51">
        <f>IF(OR(E29="",I29=""),"",ROUND(E29-I29,2))</f>
        <v/>
      </c>
      <c r="K29" s="48" t="n"/>
      <c r="L29" s="48" t="n"/>
      <c r="M29" s="48" t="n"/>
      <c r="N29" s="48" t="n"/>
      <c r="O29" s="48" t="n"/>
      <c r="P29" s="49" t="n"/>
      <c r="Q29" s="49" t="n"/>
      <c r="R29" s="48" t="n"/>
      <c r="S29" s="48" t="n"/>
      <c r="T29" s="48" t="n"/>
    </row>
    <row r="30" ht="15" customHeight="1" s="30">
      <c r="A30" s="48" t="n"/>
      <c r="B30" s="48" t="n"/>
      <c r="C30" s="53" t="n"/>
      <c r="D30" s="48" t="n"/>
      <c r="E30" s="51" t="n"/>
      <c r="F30" s="48" t="n"/>
      <c r="G30" s="48" t="n"/>
      <c r="H30" s="48" t="n"/>
      <c r="I30" s="51" t="n"/>
      <c r="J30" s="51">
        <f>IF(OR(E30="",I30=""),"",ROUND(E30-I30,2))</f>
        <v/>
      </c>
      <c r="K30" s="48" t="n"/>
      <c r="L30" s="48" t="n"/>
      <c r="M30" s="48" t="n"/>
      <c r="N30" s="48" t="n"/>
      <c r="O30" s="48" t="n"/>
      <c r="P30" s="49" t="n"/>
      <c r="Q30" s="49" t="n"/>
      <c r="R30" s="48" t="n"/>
      <c r="S30" s="48" t="n"/>
      <c r="T30" s="48" t="n"/>
    </row>
    <row r="31" ht="15" customHeight="1" s="30">
      <c r="A31" s="48" t="n"/>
      <c r="B31" s="48" t="n"/>
      <c r="C31" s="53" t="n"/>
      <c r="D31" s="48" t="n"/>
      <c r="E31" s="51" t="n"/>
      <c r="F31" s="48" t="n"/>
      <c r="G31" s="48" t="n"/>
      <c r="H31" s="48" t="n"/>
      <c r="I31" s="51" t="n"/>
      <c r="J31" s="51">
        <f>IF(OR(E31="",I31=""),"",ROUND(E31-I31,2))</f>
        <v/>
      </c>
      <c r="K31" s="48" t="n"/>
      <c r="L31" s="48" t="n"/>
      <c r="M31" s="48" t="n"/>
      <c r="N31" s="48" t="n"/>
      <c r="O31" s="48" t="n"/>
      <c r="P31" s="49" t="n"/>
      <c r="Q31" s="49" t="n"/>
      <c r="R31" s="48" t="n"/>
      <c r="S31" s="48" t="n"/>
      <c r="T31" s="48" t="n"/>
    </row>
    <row r="32" ht="15" customHeight="1" s="30">
      <c r="A32" s="48" t="n"/>
      <c r="B32" s="48" t="n"/>
      <c r="C32" s="53" t="n"/>
      <c r="D32" s="48" t="n"/>
      <c r="E32" s="51" t="n"/>
      <c r="F32" s="48" t="n"/>
      <c r="G32" s="48" t="n"/>
      <c r="H32" s="48" t="n"/>
      <c r="I32" s="51" t="n"/>
      <c r="J32" s="51">
        <f>IF(OR(E32="",I32=""),"",ROUND(E32-I32,2))</f>
        <v/>
      </c>
      <c r="K32" s="48" t="n"/>
      <c r="L32" s="48" t="n"/>
      <c r="M32" s="48" t="n"/>
      <c r="N32" s="48" t="n"/>
      <c r="O32" s="48" t="n"/>
      <c r="P32" s="49" t="n"/>
      <c r="Q32" s="49" t="n"/>
      <c r="R32" s="48" t="n"/>
      <c r="S32" s="48" t="n"/>
      <c r="T32" s="48" t="n"/>
    </row>
    <row r="33" ht="15" customHeight="1" s="30">
      <c r="A33" s="48" t="n"/>
      <c r="B33" s="48" t="n"/>
      <c r="C33" s="53" t="n"/>
      <c r="D33" s="48" t="n"/>
      <c r="E33" s="51" t="n"/>
      <c r="F33" s="48" t="n"/>
      <c r="G33" s="48" t="n"/>
      <c r="H33" s="48" t="n"/>
      <c r="I33" s="51" t="n"/>
      <c r="J33" s="51">
        <f>IF(OR(E33="",I33=""),"",ROUND(E33-I33,2))</f>
        <v/>
      </c>
      <c r="K33" s="48" t="n"/>
      <c r="L33" s="48" t="n"/>
      <c r="M33" s="48" t="n"/>
      <c r="N33" s="48" t="n"/>
      <c r="O33" s="48" t="n"/>
      <c r="P33" s="49" t="n"/>
      <c r="Q33" s="49" t="n"/>
      <c r="R33" s="48" t="n"/>
      <c r="S33" s="48" t="n"/>
      <c r="T33" s="48" t="n"/>
    </row>
    <row r="34" ht="15" customHeight="1" s="30">
      <c r="A34" s="48" t="n"/>
      <c r="B34" s="48" t="n"/>
      <c r="C34" s="53" t="n"/>
      <c r="D34" s="48" t="n"/>
      <c r="E34" s="51" t="n"/>
      <c r="F34" s="48" t="n"/>
      <c r="G34" s="48" t="n"/>
      <c r="H34" s="48" t="n"/>
      <c r="I34" s="51" t="n"/>
      <c r="J34" s="51">
        <f>IF(OR(E34="",I34=""),"",ROUND(E34-I34,2))</f>
        <v/>
      </c>
      <c r="K34" s="48" t="n"/>
      <c r="L34" s="48" t="n"/>
      <c r="M34" s="48" t="n"/>
      <c r="N34" s="48" t="n"/>
      <c r="O34" s="48" t="n"/>
      <c r="P34" s="49" t="n"/>
      <c r="Q34" s="49" t="n"/>
      <c r="R34" s="48" t="n"/>
      <c r="S34" s="48" t="n"/>
      <c r="T34" s="48" t="n"/>
    </row>
    <row r="35" ht="15" customHeight="1" s="30">
      <c r="A35" s="48" t="n"/>
      <c r="B35" s="48" t="n"/>
      <c r="C35" s="53" t="n"/>
      <c r="D35" s="48" t="n"/>
      <c r="E35" s="51" t="n"/>
      <c r="F35" s="48" t="n"/>
      <c r="G35" s="48" t="n"/>
      <c r="H35" s="48" t="n"/>
      <c r="I35" s="51" t="n"/>
      <c r="J35" s="51">
        <f>IF(OR(E35="",I35=""),"",ROUND(E35-I35,2))</f>
        <v/>
      </c>
      <c r="K35" s="48" t="n"/>
      <c r="L35" s="48" t="n"/>
      <c r="M35" s="48" t="n"/>
      <c r="N35" s="48" t="n"/>
      <c r="O35" s="48" t="n"/>
      <c r="P35" s="49" t="n"/>
      <c r="Q35" s="49" t="n"/>
      <c r="R35" s="48" t="n"/>
      <c r="S35" s="48" t="n"/>
      <c r="T35" s="48" t="n"/>
    </row>
    <row r="36" ht="15" customHeight="1" s="30">
      <c r="A36" s="48" t="n"/>
      <c r="B36" s="48" t="n"/>
      <c r="C36" s="53" t="n"/>
      <c r="D36" s="48" t="n"/>
      <c r="E36" s="51" t="n"/>
      <c r="F36" s="48" t="n"/>
      <c r="G36" s="48" t="n"/>
      <c r="H36" s="48" t="n"/>
      <c r="I36" s="51" t="n"/>
      <c r="J36" s="51">
        <f>IF(OR(E36="",I36=""),"",ROUND(E36-I36,2))</f>
        <v/>
      </c>
      <c r="K36" s="48" t="n"/>
      <c r="L36" s="48" t="n"/>
      <c r="M36" s="48" t="n"/>
      <c r="N36" s="48" t="n"/>
      <c r="O36" s="48" t="n"/>
      <c r="P36" s="49" t="n"/>
      <c r="Q36" s="49" t="n"/>
      <c r="R36" s="48" t="n"/>
      <c r="S36" s="48" t="n"/>
      <c r="T36" s="48" t="n"/>
    </row>
    <row r="37" ht="15" customHeight="1" s="30">
      <c r="A37" s="48" t="n"/>
      <c r="B37" s="48" t="n"/>
      <c r="C37" s="53" t="n"/>
      <c r="D37" s="48" t="n"/>
      <c r="E37" s="51" t="n"/>
      <c r="F37" s="48" t="n"/>
      <c r="G37" s="48" t="n"/>
      <c r="H37" s="48" t="n"/>
      <c r="I37" s="51" t="n"/>
      <c r="J37" s="51">
        <f>IF(OR(E37="",I37=""),"",ROUND(E37-I37,2))</f>
        <v/>
      </c>
      <c r="K37" s="48" t="n"/>
      <c r="L37" s="48" t="n"/>
      <c r="M37" s="48" t="n"/>
      <c r="N37" s="48" t="n"/>
      <c r="O37" s="48" t="n"/>
      <c r="P37" s="49" t="n"/>
      <c r="Q37" s="49" t="n"/>
      <c r="R37" s="48" t="n"/>
      <c r="S37" s="48" t="n"/>
      <c r="T37" s="48" t="n"/>
    </row>
    <row r="38" ht="15" customHeight="1" s="30">
      <c r="A38" s="48" t="n"/>
      <c r="B38" s="48" t="n"/>
      <c r="C38" s="53" t="n"/>
      <c r="D38" s="48" t="n"/>
      <c r="E38" s="51" t="n"/>
      <c r="F38" s="48" t="n"/>
      <c r="G38" s="48" t="n"/>
      <c r="H38" s="48" t="n"/>
      <c r="I38" s="51" t="n"/>
      <c r="J38" s="51">
        <f>IF(OR(E38="",I38=""),"",ROUND(E38-I38,2))</f>
        <v/>
      </c>
      <c r="K38" s="48" t="n"/>
      <c r="L38" s="48" t="n"/>
      <c r="M38" s="48" t="n"/>
      <c r="N38" s="48" t="n"/>
      <c r="O38" s="48" t="n"/>
      <c r="P38" s="49" t="n"/>
      <c r="Q38" s="49" t="n"/>
      <c r="R38" s="48" t="n"/>
      <c r="S38" s="48" t="n"/>
      <c r="T38" s="48" t="n"/>
    </row>
    <row r="39" ht="15" customHeight="1" s="30">
      <c r="A39" s="48" t="n"/>
      <c r="B39" s="48" t="n"/>
      <c r="C39" s="53" t="n"/>
      <c r="D39" s="48" t="n"/>
      <c r="E39" s="51" t="n"/>
      <c r="F39" s="48" t="n"/>
      <c r="G39" s="48" t="n"/>
      <c r="H39" s="48" t="n"/>
      <c r="I39" s="51" t="n"/>
      <c r="J39" s="51">
        <f>IF(OR(E39="",I39=""),"",ROUND(E39-I39,2))</f>
        <v/>
      </c>
      <c r="K39" s="48" t="n"/>
      <c r="L39" s="48" t="n"/>
      <c r="M39" s="48" t="n"/>
      <c r="N39" s="48" t="n"/>
      <c r="O39" s="48" t="n"/>
      <c r="P39" s="49" t="n"/>
      <c r="Q39" s="49" t="n"/>
      <c r="R39" s="48" t="n"/>
      <c r="S39" s="48" t="n"/>
      <c r="T39" s="48" t="n"/>
    </row>
    <row r="40" ht="15" customHeight="1" s="30">
      <c r="A40" s="48" t="n"/>
      <c r="B40" s="48" t="n"/>
      <c r="C40" s="53" t="n"/>
      <c r="D40" s="48" t="n"/>
      <c r="E40" s="51" t="n"/>
      <c r="F40" s="48" t="n"/>
      <c r="G40" s="48" t="n"/>
      <c r="H40" s="48" t="n"/>
      <c r="I40" s="51" t="n"/>
      <c r="J40" s="51">
        <f>IF(OR(E40="",I40=""),"",ROUND(E40-I40,2))</f>
        <v/>
      </c>
      <c r="K40" s="48" t="n"/>
      <c r="L40" s="48" t="n"/>
      <c r="M40" s="48" t="n"/>
      <c r="N40" s="48" t="n"/>
      <c r="O40" s="48" t="n"/>
      <c r="P40" s="49" t="n"/>
      <c r="Q40" s="49" t="n"/>
      <c r="R40" s="48" t="n"/>
      <c r="S40" s="48" t="n"/>
      <c r="T40" s="48" t="n"/>
    </row>
    <row r="41" ht="15" customHeight="1" s="30">
      <c r="A41" s="48" t="n"/>
      <c r="B41" s="48" t="n"/>
      <c r="C41" s="53" t="n"/>
      <c r="D41" s="48" t="n"/>
      <c r="E41" s="51" t="n"/>
      <c r="F41" s="48" t="n"/>
      <c r="G41" s="48" t="n"/>
      <c r="H41" s="48" t="n"/>
      <c r="I41" s="51" t="n"/>
      <c r="J41" s="51">
        <f>IF(OR(E41="",I41=""),"",ROUND(E41-I41,2))</f>
        <v/>
      </c>
      <c r="K41" s="48" t="n"/>
      <c r="L41" s="48" t="n"/>
      <c r="M41" s="48" t="n"/>
      <c r="N41" s="48" t="n"/>
      <c r="O41" s="48" t="n"/>
      <c r="P41" s="49" t="n"/>
      <c r="Q41" s="49" t="n"/>
      <c r="R41" s="48" t="n"/>
      <c r="S41" s="48" t="n"/>
      <c r="T41" s="48" t="n"/>
    </row>
    <row r="42" ht="15" customHeight="1" s="30">
      <c r="A42" s="48" t="n"/>
      <c r="B42" s="48" t="n"/>
      <c r="C42" s="53" t="n"/>
      <c r="D42" s="48" t="n"/>
      <c r="E42" s="51" t="n"/>
      <c r="F42" s="48" t="n"/>
      <c r="G42" s="48" t="n"/>
      <c r="H42" s="48" t="n"/>
      <c r="I42" s="51" t="n"/>
      <c r="J42" s="51">
        <f>IF(OR(E42="",I42=""),"",ROUND(E42-I42,2))</f>
        <v/>
      </c>
      <c r="K42" s="48" t="n"/>
      <c r="L42" s="48" t="n"/>
      <c r="M42" s="48" t="n"/>
      <c r="N42" s="48" t="n"/>
      <c r="O42" s="48" t="n"/>
      <c r="P42" s="49" t="n"/>
      <c r="Q42" s="49" t="n"/>
      <c r="R42" s="48" t="n"/>
      <c r="S42" s="48" t="n"/>
      <c r="T42" s="48" t="n"/>
    </row>
    <row r="43" ht="15" customHeight="1" s="30">
      <c r="A43" s="48" t="n"/>
      <c r="B43" s="48" t="n"/>
      <c r="C43" s="53" t="n"/>
      <c r="D43" s="48" t="n"/>
      <c r="E43" s="51" t="n"/>
      <c r="F43" s="48" t="n"/>
      <c r="G43" s="48" t="n"/>
      <c r="H43" s="48" t="n"/>
      <c r="I43" s="51" t="n"/>
      <c r="J43" s="51">
        <f>IF(OR(E43="",I43=""),"",ROUND(E43-I43,2))</f>
        <v/>
      </c>
      <c r="K43" s="48" t="n"/>
      <c r="L43" s="48" t="n"/>
      <c r="M43" s="48" t="n"/>
      <c r="N43" s="48" t="n"/>
      <c r="O43" s="48" t="n"/>
      <c r="P43" s="49" t="n"/>
      <c r="Q43" s="49" t="n"/>
      <c r="R43" s="48" t="n"/>
      <c r="S43" s="48" t="n"/>
      <c r="T43" s="48" t="n"/>
    </row>
    <row r="44" ht="15" customHeight="1" s="30">
      <c r="A44" s="48" t="n"/>
      <c r="B44" s="48" t="n"/>
      <c r="C44" s="53" t="n"/>
      <c r="D44" s="48" t="n"/>
      <c r="E44" s="51" t="n"/>
      <c r="F44" s="48" t="n"/>
      <c r="G44" s="48" t="n"/>
      <c r="H44" s="48" t="n"/>
      <c r="I44" s="51" t="n"/>
      <c r="J44" s="51">
        <f>IF(OR(E44="",I44=""),"",ROUND(E44-I44,2))</f>
        <v/>
      </c>
      <c r="K44" s="48" t="n"/>
      <c r="L44" s="48" t="n"/>
      <c r="M44" s="48" t="n"/>
      <c r="N44" s="48" t="n"/>
      <c r="O44" s="48" t="n"/>
      <c r="P44" s="49" t="n"/>
      <c r="Q44" s="49" t="n"/>
      <c r="R44" s="48" t="n"/>
      <c r="S44" s="48" t="n"/>
      <c r="T44" s="48" t="n"/>
    </row>
    <row r="45" ht="15" customHeight="1" s="30">
      <c r="A45" s="48" t="n"/>
      <c r="B45" s="48" t="n"/>
      <c r="C45" s="53" t="n"/>
      <c r="D45" s="48" t="n"/>
      <c r="E45" s="51" t="n"/>
      <c r="F45" s="48" t="n"/>
      <c r="G45" s="48" t="n"/>
      <c r="H45" s="48" t="n"/>
      <c r="I45" s="51" t="n"/>
      <c r="J45" s="51">
        <f>IF(OR(E45="",I45=""),"",ROUND(E45-I45,2))</f>
        <v/>
      </c>
      <c r="K45" s="48" t="n"/>
      <c r="L45" s="48" t="n"/>
      <c r="M45" s="48" t="n"/>
      <c r="N45" s="48" t="n"/>
      <c r="O45" s="48" t="n"/>
      <c r="P45" s="49" t="n"/>
      <c r="Q45" s="49" t="n"/>
      <c r="R45" s="48" t="n"/>
      <c r="S45" s="48" t="n"/>
      <c r="T45" s="48" t="n"/>
    </row>
    <row r="46" ht="15" customHeight="1" s="30">
      <c r="A46" s="48" t="n"/>
      <c r="B46" s="48" t="n"/>
      <c r="C46" s="53" t="n"/>
      <c r="D46" s="48" t="n"/>
      <c r="E46" s="51" t="n"/>
      <c r="F46" s="48" t="n"/>
      <c r="G46" s="48" t="n"/>
      <c r="H46" s="48" t="n"/>
      <c r="I46" s="51" t="n"/>
      <c r="J46" s="51">
        <f>IF(OR(E46="",I46=""),"",ROUND(E46-I46,2))</f>
        <v/>
      </c>
      <c r="K46" s="48" t="n"/>
      <c r="L46" s="48" t="n"/>
      <c r="M46" s="48" t="n"/>
      <c r="N46" s="48" t="n"/>
      <c r="O46" s="48" t="n"/>
      <c r="P46" s="49" t="n"/>
      <c r="Q46" s="49" t="n"/>
      <c r="R46" s="48" t="n"/>
      <c r="S46" s="48" t="n"/>
      <c r="T46" s="48" t="n"/>
    </row>
    <row r="47" ht="15" customHeight="1" s="30">
      <c r="A47" s="48" t="n"/>
      <c r="B47" s="48" t="n"/>
      <c r="C47" s="53" t="n"/>
      <c r="D47" s="48" t="n"/>
      <c r="E47" s="51" t="n"/>
      <c r="F47" s="48" t="n"/>
      <c r="G47" s="48" t="n"/>
      <c r="H47" s="48" t="n"/>
      <c r="I47" s="51" t="n"/>
      <c r="J47" s="51">
        <f>IF(OR(E47="",I47=""),"",ROUND(E47-I47,2))</f>
        <v/>
      </c>
      <c r="K47" s="48" t="n"/>
      <c r="L47" s="48" t="n"/>
      <c r="M47" s="48" t="n"/>
      <c r="N47" s="48" t="n"/>
      <c r="O47" s="48" t="n"/>
      <c r="P47" s="49" t="n"/>
      <c r="Q47" s="49" t="n"/>
      <c r="R47" s="48" t="n"/>
      <c r="S47" s="48" t="n"/>
      <c r="T47" s="48" t="n"/>
    </row>
    <row r="48" ht="15" customHeight="1" s="30">
      <c r="A48" s="48" t="n"/>
      <c r="B48" s="48" t="n"/>
      <c r="C48" s="53" t="n"/>
      <c r="D48" s="48" t="n"/>
      <c r="E48" s="51" t="n"/>
      <c r="F48" s="48" t="n"/>
      <c r="G48" s="48" t="n"/>
      <c r="H48" s="48" t="n"/>
      <c r="I48" s="51" t="n"/>
      <c r="J48" s="51">
        <f>IF(OR(E48="",I48=""),"",ROUND(E48-I48,2))</f>
        <v/>
      </c>
      <c r="K48" s="48" t="n"/>
      <c r="L48" s="48" t="n"/>
      <c r="M48" s="48" t="n"/>
      <c r="N48" s="48" t="n"/>
      <c r="O48" s="48" t="n"/>
      <c r="P48" s="49" t="n"/>
      <c r="Q48" s="49" t="n"/>
      <c r="R48" s="48" t="n"/>
      <c r="S48" s="48" t="n"/>
      <c r="T48" s="48" t="n"/>
    </row>
    <row r="49" ht="15" customHeight="1" s="30">
      <c r="A49" s="48" t="n"/>
      <c r="B49" s="48" t="n"/>
      <c r="C49" s="53" t="n"/>
      <c r="D49" s="48" t="n"/>
      <c r="E49" s="51" t="n"/>
      <c r="F49" s="48" t="n"/>
      <c r="G49" s="48" t="n"/>
      <c r="H49" s="48" t="n"/>
      <c r="I49" s="51" t="n"/>
      <c r="J49" s="51">
        <f>IF(OR(E49="",I49=""),"",ROUND(E49-I49,2))</f>
        <v/>
      </c>
      <c r="K49" s="48" t="n"/>
      <c r="L49" s="48" t="n"/>
      <c r="M49" s="48" t="n"/>
      <c r="N49" s="48" t="n"/>
      <c r="O49" s="48" t="n"/>
      <c r="P49" s="49" t="n"/>
      <c r="Q49" s="49" t="n"/>
      <c r="R49" s="48" t="n"/>
      <c r="S49" s="48" t="n"/>
      <c r="T49" s="48" t="n"/>
    </row>
    <row r="50" ht="15" customHeight="1" s="30">
      <c r="A50" s="48" t="n"/>
      <c r="B50" s="48" t="n"/>
      <c r="C50" s="53" t="n"/>
      <c r="D50" s="48" t="n"/>
      <c r="E50" s="51" t="n"/>
      <c r="F50" s="48" t="n"/>
      <c r="G50" s="48" t="n"/>
      <c r="H50" s="48" t="n"/>
      <c r="I50" s="51" t="n"/>
      <c r="J50" s="51">
        <f>IF(OR(E50="",I50=""),"",ROUND(E50-I50,2))</f>
        <v/>
      </c>
      <c r="K50" s="48" t="n"/>
      <c r="L50" s="48" t="n"/>
      <c r="M50" s="48" t="n"/>
      <c r="N50" s="48" t="n"/>
      <c r="O50" s="48" t="n"/>
      <c r="P50" s="49" t="n"/>
      <c r="Q50" s="49" t="n"/>
      <c r="R50" s="48" t="n"/>
      <c r="S50" s="48" t="n"/>
      <c r="T50" s="48" t="n"/>
    </row>
    <row r="51" ht="15" customHeight="1" s="30">
      <c r="A51" s="48" t="n"/>
      <c r="B51" s="48" t="n"/>
      <c r="C51" s="53" t="n"/>
      <c r="D51" s="48" t="n"/>
      <c r="E51" s="51" t="n"/>
      <c r="F51" s="48" t="n"/>
      <c r="G51" s="48" t="n"/>
      <c r="H51" s="48" t="n"/>
      <c r="I51" s="51" t="n"/>
      <c r="J51" s="51">
        <f>IF(OR(E51="",I51=""),"",ROUND(E51-I51,2))</f>
        <v/>
      </c>
      <c r="K51" s="48" t="n"/>
      <c r="L51" s="48" t="n"/>
      <c r="M51" s="48" t="n"/>
      <c r="N51" s="48" t="n"/>
      <c r="O51" s="48" t="n"/>
      <c r="P51" s="49" t="n"/>
      <c r="Q51" s="49" t="n"/>
      <c r="R51" s="48" t="n"/>
      <c r="S51" s="48" t="n"/>
      <c r="T51" s="48" t="n"/>
    </row>
    <row r="52" ht="15" customHeight="1" s="30">
      <c r="A52" s="48" t="n"/>
      <c r="B52" s="48" t="n"/>
      <c r="C52" s="53" t="n"/>
      <c r="D52" s="48" t="n"/>
      <c r="E52" s="51" t="n"/>
      <c r="F52" s="48" t="n"/>
      <c r="G52" s="48" t="n"/>
      <c r="H52" s="48" t="n"/>
      <c r="I52" s="51" t="n"/>
      <c r="J52" s="51">
        <f>IF(OR(E52="",I52=""),"",ROUND(E52-I52,2))</f>
        <v/>
      </c>
      <c r="K52" s="48" t="n"/>
      <c r="L52" s="48" t="n"/>
      <c r="M52" s="48" t="n"/>
      <c r="N52" s="48" t="n"/>
      <c r="O52" s="48" t="n"/>
      <c r="P52" s="49" t="n"/>
      <c r="Q52" s="49" t="n"/>
      <c r="R52" s="48" t="n"/>
      <c r="S52" s="48" t="n"/>
      <c r="T52" s="48" t="n"/>
    </row>
    <row r="53" ht="15" customHeight="1" s="30">
      <c r="A53" s="48" t="n"/>
      <c r="B53" s="48" t="n"/>
      <c r="C53" s="53" t="n"/>
      <c r="D53" s="48" t="n"/>
      <c r="E53" s="51" t="n"/>
      <c r="F53" s="48" t="n"/>
      <c r="G53" s="48" t="n"/>
      <c r="H53" s="48" t="n"/>
      <c r="I53" s="51" t="n"/>
      <c r="J53" s="51">
        <f>IF(OR(E53="",I53=""),"",ROUND(E53-I53,2))</f>
        <v/>
      </c>
      <c r="K53" s="48" t="n"/>
      <c r="L53" s="48" t="n"/>
      <c r="M53" s="48" t="n"/>
      <c r="N53" s="48" t="n"/>
      <c r="O53" s="48" t="n"/>
      <c r="P53" s="49" t="n"/>
      <c r="Q53" s="49" t="n"/>
      <c r="R53" s="48" t="n"/>
      <c r="S53" s="48" t="n"/>
      <c r="T53" s="48" t="n"/>
    </row>
    <row r="54" ht="15" customHeight="1" s="30">
      <c r="A54" s="48" t="n"/>
      <c r="B54" s="48" t="n"/>
      <c r="C54" s="53" t="n"/>
      <c r="D54" s="48" t="n"/>
      <c r="E54" s="51" t="n"/>
      <c r="F54" s="48" t="n"/>
      <c r="G54" s="48" t="n"/>
      <c r="H54" s="48" t="n"/>
      <c r="I54" s="51" t="n"/>
      <c r="J54" s="51">
        <f>IF(OR(E54="",I54=""),"",ROUND(E54-I54,2))</f>
        <v/>
      </c>
      <c r="K54" s="48" t="n"/>
      <c r="L54" s="48" t="n"/>
      <c r="M54" s="48" t="n"/>
      <c r="N54" s="48" t="n"/>
      <c r="O54" s="48" t="n"/>
      <c r="P54" s="49" t="n"/>
      <c r="Q54" s="49" t="n"/>
      <c r="R54" s="48" t="n"/>
      <c r="S54" s="48" t="n"/>
      <c r="T54" s="48" t="n"/>
    </row>
    <row r="55" ht="15" customHeight="1" s="30">
      <c r="A55" s="48" t="n"/>
      <c r="B55" s="48" t="n"/>
      <c r="C55" s="53" t="n"/>
      <c r="D55" s="48" t="n"/>
      <c r="E55" s="51" t="n"/>
      <c r="F55" s="48" t="n"/>
      <c r="G55" s="48" t="n"/>
      <c r="H55" s="48" t="n"/>
      <c r="I55" s="51" t="n"/>
      <c r="J55" s="51">
        <f>IF(OR(E55="",I55=""),"",ROUND(E55-I55,2))</f>
        <v/>
      </c>
      <c r="K55" s="48" t="n"/>
      <c r="L55" s="48" t="n"/>
      <c r="M55" s="48" t="n"/>
      <c r="N55" s="48" t="n"/>
      <c r="O55" s="48" t="n"/>
      <c r="P55" s="49" t="n"/>
      <c r="Q55" s="49" t="n"/>
      <c r="R55" s="48" t="n"/>
      <c r="S55" s="48" t="n"/>
      <c r="T55" s="48" t="n"/>
    </row>
    <row r="56" ht="15" customHeight="1" s="30">
      <c r="A56" s="48" t="n"/>
      <c r="B56" s="48" t="n"/>
      <c r="C56" s="53" t="n"/>
      <c r="D56" s="48" t="n"/>
      <c r="E56" s="51" t="n"/>
      <c r="F56" s="48" t="n"/>
      <c r="G56" s="48" t="n"/>
      <c r="H56" s="48" t="n"/>
      <c r="I56" s="51" t="n"/>
      <c r="J56" s="51">
        <f>IF(OR(E56="",I56=""),"",ROUND(E56-I56,2))</f>
        <v/>
      </c>
      <c r="K56" s="48" t="n"/>
      <c r="L56" s="48" t="n"/>
      <c r="M56" s="48" t="n"/>
      <c r="N56" s="48" t="n"/>
      <c r="O56" s="48" t="n"/>
      <c r="P56" s="49" t="n"/>
      <c r="Q56" s="49" t="n"/>
      <c r="R56" s="48" t="n"/>
      <c r="S56" s="48" t="n"/>
      <c r="T56" s="48" t="n"/>
    </row>
    <row r="57" ht="15" customHeight="1" s="30">
      <c r="A57" s="48" t="n"/>
      <c r="B57" s="48" t="n"/>
      <c r="C57" s="53" t="n"/>
      <c r="D57" s="48" t="n"/>
      <c r="E57" s="51" t="n"/>
      <c r="F57" s="48" t="n"/>
      <c r="G57" s="48" t="n"/>
      <c r="H57" s="48" t="n"/>
      <c r="I57" s="51" t="n"/>
      <c r="J57" s="51">
        <f>IF(OR(E57="",I57=""),"",ROUND(E57-I57,2))</f>
        <v/>
      </c>
      <c r="K57" s="48" t="n"/>
      <c r="L57" s="48" t="n"/>
      <c r="M57" s="48" t="n"/>
      <c r="N57" s="48" t="n"/>
      <c r="O57" s="48" t="n"/>
      <c r="P57" s="49" t="n"/>
      <c r="Q57" s="49" t="n"/>
      <c r="R57" s="48" t="n"/>
      <c r="S57" s="48" t="n"/>
      <c r="T57" s="48" t="n"/>
    </row>
    <row r="58" ht="15" customHeight="1" s="30">
      <c r="A58" s="48" t="n"/>
      <c r="B58" s="48" t="n"/>
      <c r="C58" s="53" t="n"/>
      <c r="D58" s="48" t="n"/>
      <c r="E58" s="51" t="n"/>
      <c r="F58" s="48" t="n"/>
      <c r="G58" s="48" t="n"/>
      <c r="H58" s="48" t="n"/>
      <c r="I58" s="51" t="n"/>
      <c r="J58" s="51">
        <f>IF(OR(E58="",I58=""),"",ROUND(E58-I58,2))</f>
        <v/>
      </c>
      <c r="K58" s="48" t="n"/>
      <c r="L58" s="48" t="n"/>
      <c r="M58" s="48" t="n"/>
      <c r="N58" s="48" t="n"/>
      <c r="O58" s="48" t="n"/>
      <c r="P58" s="49" t="n"/>
      <c r="Q58" s="49" t="n"/>
      <c r="R58" s="48" t="n"/>
      <c r="S58" s="48" t="n"/>
      <c r="T58" s="48" t="n"/>
    </row>
    <row r="59" ht="15" customHeight="1" s="30">
      <c r="A59" s="48" t="n"/>
      <c r="B59" s="48" t="n"/>
      <c r="C59" s="53" t="n"/>
      <c r="D59" s="48" t="n"/>
      <c r="E59" s="51" t="n"/>
      <c r="F59" s="48" t="n"/>
      <c r="G59" s="48" t="n"/>
      <c r="H59" s="48" t="n"/>
      <c r="I59" s="51" t="n"/>
      <c r="J59" s="51">
        <f>IF(OR(E59="",I59=""),"",ROUND(E59-I59,2))</f>
        <v/>
      </c>
      <c r="K59" s="48" t="n"/>
      <c r="L59" s="48" t="n"/>
      <c r="M59" s="48" t="n"/>
      <c r="N59" s="48" t="n"/>
      <c r="O59" s="48" t="n"/>
      <c r="P59" s="49" t="n"/>
      <c r="Q59" s="49" t="n"/>
      <c r="R59" s="48" t="n"/>
      <c r="S59" s="48" t="n"/>
      <c r="T59" s="48" t="n"/>
    </row>
    <row r="60" ht="15" customHeight="1" s="30">
      <c r="A60" s="48" t="n"/>
      <c r="B60" s="48" t="n"/>
      <c r="C60" s="53" t="n"/>
      <c r="D60" s="48" t="n"/>
      <c r="E60" s="51" t="n"/>
      <c r="F60" s="48" t="n"/>
      <c r="G60" s="48" t="n"/>
      <c r="H60" s="48" t="n"/>
      <c r="I60" s="51" t="n"/>
      <c r="J60" s="51">
        <f>IF(OR(E60="",I60=""),"",ROUND(E60-I60,2))</f>
        <v/>
      </c>
      <c r="K60" s="48" t="n"/>
      <c r="L60" s="48" t="n"/>
      <c r="M60" s="48" t="n"/>
      <c r="N60" s="48" t="n"/>
      <c r="O60" s="48" t="n"/>
      <c r="P60" s="49" t="n"/>
      <c r="Q60" s="49" t="n"/>
      <c r="R60" s="48" t="n"/>
      <c r="S60" s="48" t="n"/>
      <c r="T60" s="48" t="n"/>
    </row>
    <row r="61" ht="15" customHeight="1" s="30">
      <c r="A61" s="48" t="n"/>
      <c r="B61" s="48" t="n"/>
      <c r="C61" s="53" t="n"/>
      <c r="D61" s="48" t="n"/>
      <c r="E61" s="51" t="n"/>
      <c r="F61" s="48" t="n"/>
      <c r="G61" s="48" t="n"/>
      <c r="H61" s="48" t="n"/>
      <c r="I61" s="51" t="n"/>
      <c r="J61" s="51">
        <f>IF(OR(E61="",I61=""),"",ROUND(E61-I61,2))</f>
        <v/>
      </c>
      <c r="K61" s="48" t="n"/>
      <c r="L61" s="48" t="n"/>
      <c r="M61" s="48" t="n"/>
      <c r="N61" s="48" t="n"/>
      <c r="O61" s="48" t="n"/>
      <c r="P61" s="49" t="n"/>
      <c r="Q61" s="49" t="n"/>
      <c r="R61" s="48" t="n"/>
      <c r="S61" s="48" t="n"/>
      <c r="T61" s="48" t="n"/>
    </row>
    <row r="62" ht="15" customHeight="1" s="30">
      <c r="A62" s="48" t="n"/>
      <c r="B62" s="48" t="n"/>
      <c r="C62" s="53" t="n"/>
      <c r="D62" s="48" t="n"/>
      <c r="E62" s="51" t="n"/>
      <c r="F62" s="48" t="n"/>
      <c r="G62" s="48" t="n"/>
      <c r="H62" s="48" t="n"/>
      <c r="I62" s="51" t="n"/>
      <c r="J62" s="51">
        <f>IF(OR(E62="",I62=""),"",ROUND(E62-I62,2))</f>
        <v/>
      </c>
      <c r="K62" s="48" t="n"/>
      <c r="L62" s="48" t="n"/>
      <c r="M62" s="48" t="n"/>
      <c r="N62" s="48" t="n"/>
      <c r="O62" s="48" t="n"/>
      <c r="P62" s="49" t="n"/>
      <c r="Q62" s="49" t="n"/>
      <c r="R62" s="48" t="n"/>
      <c r="S62" s="48" t="n"/>
      <c r="T62" s="48" t="n"/>
    </row>
    <row r="63" ht="15" customHeight="1" s="30">
      <c r="A63" s="48" t="n"/>
      <c r="B63" s="48" t="n"/>
      <c r="C63" s="53" t="n"/>
      <c r="D63" s="48" t="n"/>
      <c r="E63" s="51" t="n"/>
      <c r="F63" s="48" t="n"/>
      <c r="G63" s="48" t="n"/>
      <c r="H63" s="48" t="n"/>
      <c r="I63" s="51" t="n"/>
      <c r="J63" s="51">
        <f>IF(OR(E63="",I63=""),"",ROUND(E63-I63,2))</f>
        <v/>
      </c>
      <c r="K63" s="48" t="n"/>
      <c r="L63" s="48" t="n"/>
      <c r="M63" s="48" t="n"/>
      <c r="N63" s="48" t="n"/>
      <c r="O63" s="48" t="n"/>
      <c r="P63" s="49" t="n"/>
      <c r="Q63" s="49" t="n"/>
      <c r="R63" s="48" t="n"/>
      <c r="S63" s="48" t="n"/>
      <c r="T63" s="48" t="n"/>
    </row>
    <row r="64" ht="15" customHeight="1" s="30">
      <c r="A64" s="48" t="n"/>
      <c r="B64" s="48" t="n"/>
      <c r="C64" s="53" t="n"/>
      <c r="D64" s="48" t="n"/>
      <c r="E64" s="51" t="n"/>
      <c r="F64" s="48" t="n"/>
      <c r="G64" s="48" t="n"/>
      <c r="H64" s="48" t="n"/>
      <c r="I64" s="51" t="n"/>
      <c r="J64" s="51">
        <f>IF(OR(E64="",I64=""),"",ROUND(E64-I64,2))</f>
        <v/>
      </c>
      <c r="K64" s="48" t="n"/>
      <c r="L64" s="48" t="n"/>
      <c r="M64" s="48" t="n"/>
      <c r="N64" s="48" t="n"/>
      <c r="O64" s="48" t="n"/>
      <c r="P64" s="49" t="n"/>
      <c r="Q64" s="49" t="n"/>
      <c r="R64" s="48" t="n"/>
      <c r="S64" s="48" t="n"/>
      <c r="T64" s="48" t="n"/>
    </row>
  </sheetData>
  <autoFilter ref="A4:T64"/>
  <dataValidations count="6">
    <dataValidation sqref="F5:F64" showDropDown="0" showInputMessage="0" showErrorMessage="0" allowBlank="1" type="list" errorStyle="stop" operator="between">
      <formula1>"1:1,1:N,N:1,N:M"</formula1>
      <formula2>0</formula2>
    </dataValidation>
    <dataValidation sqref="M5:M64" showDropDown="0" showInputMessage="0" showErrorMessage="0" allowBlank="1" type="list" errorStyle="stop" operator="between">
      <formula1>"Alta,Media,Baja"</formula1>
      <formula2>0</formula2>
    </dataValidation>
    <dataValidation sqref="P5:P64" showDropDown="0" showInputMessage="0" showErrorMessage="0" allowBlank="1" type="list" errorStyle="stop" operator="between">
      <formula1>"Sí,No,Modificar"</formula1>
      <formula2>0</formula2>
    </dataValidation>
    <dataValidation sqref="R5:R64" showDropDown="0" showInputMessage="0" showErrorMessage="0" allowBlank="1" type="list" errorStyle="stop" operator="between">
      <formula1>"Pendiente,Aplicado,Error,Revalidar"</formula1>
      <formula2>0</formula2>
    </dataValidation>
    <dataValidation sqref="T5:T64" showDropDown="0" showInputMessage="0" showErrorMessage="0" allowBlank="1" type="list" errorStyle="stop" operator="between">
      <formula1>"Sí,No"</formula1>
      <formula2>0</formula2>
    </dataValidation>
    <dataValidation sqref="L5:L64" showDropDown="0" showInputMessage="0" showErrorMessage="0" allowBlank="1" type="list" errorStyle="stop" operator="between">
      <formula1>11_Catalogos!$A$5:$A$18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tabColor rgb="FF24606C"/>
    <outlinePr summaryBelow="1" summaryRight="1"/>
    <pageSetUpPr fitToPage="0"/>
  </sheetPr>
  <dimension ref="A1:H6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9" min="1" max="1"/>
    <col width="11" customWidth="1" style="29" min="2" max="2"/>
    <col width="40" customWidth="1" style="29" min="3" max="3"/>
    <col width="13" customWidth="1" style="29" min="4" max="4"/>
    <col width="46" customWidth="1" style="29" min="5" max="5"/>
    <col width="40" customWidth="1" style="29" min="6" max="6"/>
    <col width="30" customWidth="1" style="29" min="7" max="7"/>
    <col width="12" customWidth="1" style="29" min="8" max="8"/>
  </cols>
  <sheetData>
    <row r="1" ht="19.7" customHeight="1" s="30">
      <c r="A1" s="31" t="inlineStr">
        <is>
          <t>Movimientos sin propuesta</t>
        </is>
      </c>
    </row>
    <row r="2" ht="15" customHeight="1" s="30">
      <c r="A2" s="32" t="inlineStr">
        <is>
          <t>Cada renglón lleva la pregunta concreta que el usuario debe contestar.</t>
        </is>
      </c>
    </row>
    <row r="4" ht="33.75" customHeight="1" s="30">
      <c r="A4" s="44" t="inlineStr">
        <is>
          <t>ID mov.</t>
        </is>
      </c>
      <c r="B4" s="44" t="inlineStr">
        <is>
          <t>Fecha</t>
        </is>
      </c>
      <c r="C4" s="44" t="inlineStr">
        <is>
          <t>Concepto</t>
        </is>
      </c>
      <c r="D4" s="44" t="inlineStr">
        <is>
          <t>Importe</t>
        </is>
      </c>
      <c r="E4" s="44" t="inlineStr">
        <is>
          <t>Pregunta de la skill</t>
        </is>
      </c>
      <c r="F4" s="44" t="inlineStr">
        <is>
          <t>Respuesta del usuario</t>
        </is>
      </c>
      <c r="G4" s="44" t="inlineStr">
        <is>
          <t>Cuenta o documento indicado</t>
        </is>
      </c>
      <c r="H4" s="44" t="inlineStr">
        <is>
          <t>Estado</t>
        </is>
      </c>
    </row>
    <row r="5" ht="35.05" customHeight="1" s="30">
      <c r="A5" s="46" t="inlineStr">
        <is>
          <t>M031</t>
        </is>
      </c>
      <c r="B5" s="50" t="n">
        <v>46230</v>
      </c>
      <c r="C5" s="46" t="inlineStr">
        <is>
          <t>V42 VENTAS DEBITO</t>
        </is>
      </c>
      <c r="D5" s="52" t="n">
        <v>500</v>
      </c>
      <c r="E5" s="46" t="inlineStr">
        <is>
          <t>Cobro con terminal sin factura ligada. ¿De qué cliente es? Si no se identifica, ¿va a otros ingresos?</t>
        </is>
      </c>
      <c r="F5" s="47" t="inlineStr">
        <is>
          <t>Otros ingresos</t>
        </is>
      </c>
      <c r="G5" s="47" t="inlineStr">
        <is>
          <t>403.01.01 Other Income</t>
        </is>
      </c>
      <c r="H5" s="46" t="inlineStr">
        <is>
          <t>Aplicado</t>
        </is>
      </c>
    </row>
    <row r="6" ht="15" customHeight="1" s="30">
      <c r="A6" s="48" t="n"/>
      <c r="B6" s="53" t="n"/>
      <c r="C6" s="48" t="n"/>
      <c r="D6" s="51" t="n"/>
      <c r="E6" s="48" t="n"/>
      <c r="F6" s="49" t="n"/>
      <c r="G6" s="49" t="n"/>
      <c r="H6" s="48" t="n"/>
    </row>
    <row r="7" ht="15" customHeight="1" s="30">
      <c r="A7" s="48" t="n"/>
      <c r="B7" s="53" t="n"/>
      <c r="C7" s="48" t="n"/>
      <c r="D7" s="51" t="n"/>
      <c r="E7" s="48" t="n"/>
      <c r="F7" s="49" t="n"/>
      <c r="G7" s="49" t="n"/>
      <c r="H7" s="48" t="n"/>
    </row>
    <row r="8" ht="15" customHeight="1" s="30">
      <c r="A8" s="48" t="n"/>
      <c r="B8" s="53" t="n"/>
      <c r="C8" s="48" t="n"/>
      <c r="D8" s="51" t="n"/>
      <c r="E8" s="48" t="n"/>
      <c r="F8" s="49" t="n"/>
      <c r="G8" s="49" t="n"/>
      <c r="H8" s="48" t="n"/>
    </row>
    <row r="9" ht="15" customHeight="1" s="30">
      <c r="A9" s="48" t="n"/>
      <c r="B9" s="53" t="n"/>
      <c r="C9" s="48" t="n"/>
      <c r="D9" s="51" t="n"/>
      <c r="E9" s="48" t="n"/>
      <c r="F9" s="49" t="n"/>
      <c r="G9" s="49" t="n"/>
      <c r="H9" s="48" t="n"/>
    </row>
    <row r="10" ht="15" customHeight="1" s="30">
      <c r="A10" s="48" t="n"/>
      <c r="B10" s="53" t="n"/>
      <c r="C10" s="48" t="n"/>
      <c r="D10" s="51" t="n"/>
      <c r="E10" s="48" t="n"/>
      <c r="F10" s="49" t="n"/>
      <c r="G10" s="49" t="n"/>
      <c r="H10" s="48" t="n"/>
    </row>
    <row r="11" ht="15" customHeight="1" s="30">
      <c r="A11" s="48" t="n"/>
      <c r="B11" s="53" t="n"/>
      <c r="C11" s="48" t="n"/>
      <c r="D11" s="51" t="n"/>
      <c r="E11" s="48" t="n"/>
      <c r="F11" s="49" t="n"/>
      <c r="G11" s="49" t="n"/>
      <c r="H11" s="48" t="n"/>
    </row>
    <row r="12" ht="15" customHeight="1" s="30">
      <c r="A12" s="48" t="n"/>
      <c r="B12" s="53" t="n"/>
      <c r="C12" s="48" t="n"/>
      <c r="D12" s="51" t="n"/>
      <c r="E12" s="48" t="n"/>
      <c r="F12" s="49" t="n"/>
      <c r="G12" s="49" t="n"/>
      <c r="H12" s="48" t="n"/>
    </row>
    <row r="13" ht="15" customHeight="1" s="30">
      <c r="A13" s="48" t="n"/>
      <c r="B13" s="53" t="n"/>
      <c r="C13" s="48" t="n"/>
      <c r="D13" s="51" t="n"/>
      <c r="E13" s="48" t="n"/>
      <c r="F13" s="49" t="n"/>
      <c r="G13" s="49" t="n"/>
      <c r="H13" s="48" t="n"/>
    </row>
    <row r="14" ht="15" customHeight="1" s="30">
      <c r="A14" s="48" t="n"/>
      <c r="B14" s="53" t="n"/>
      <c r="C14" s="48" t="n"/>
      <c r="D14" s="51" t="n"/>
      <c r="E14" s="48" t="n"/>
      <c r="F14" s="49" t="n"/>
      <c r="G14" s="49" t="n"/>
      <c r="H14" s="48" t="n"/>
    </row>
    <row r="15" ht="15" customHeight="1" s="30">
      <c r="A15" s="48" t="n"/>
      <c r="B15" s="53" t="n"/>
      <c r="C15" s="48" t="n"/>
      <c r="D15" s="51" t="n"/>
      <c r="E15" s="48" t="n"/>
      <c r="F15" s="49" t="n"/>
      <c r="G15" s="49" t="n"/>
      <c r="H15" s="48" t="n"/>
    </row>
    <row r="16" ht="15" customHeight="1" s="30">
      <c r="A16" s="48" t="n"/>
      <c r="B16" s="53" t="n"/>
      <c r="C16" s="48" t="n"/>
      <c r="D16" s="51" t="n"/>
      <c r="E16" s="48" t="n"/>
      <c r="F16" s="49" t="n"/>
      <c r="G16" s="49" t="n"/>
      <c r="H16" s="48" t="n"/>
    </row>
    <row r="17" ht="15" customHeight="1" s="30">
      <c r="A17" s="48" t="n"/>
      <c r="B17" s="53" t="n"/>
      <c r="C17" s="48" t="n"/>
      <c r="D17" s="51" t="n"/>
      <c r="E17" s="48" t="n"/>
      <c r="F17" s="49" t="n"/>
      <c r="G17" s="49" t="n"/>
      <c r="H17" s="48" t="n"/>
    </row>
    <row r="18" ht="15" customHeight="1" s="30">
      <c r="A18" s="48" t="n"/>
      <c r="B18" s="53" t="n"/>
      <c r="C18" s="48" t="n"/>
      <c r="D18" s="51" t="n"/>
      <c r="E18" s="48" t="n"/>
      <c r="F18" s="49" t="n"/>
      <c r="G18" s="49" t="n"/>
      <c r="H18" s="48" t="n"/>
    </row>
    <row r="19" ht="15" customHeight="1" s="30">
      <c r="A19" s="48" t="n"/>
      <c r="B19" s="53" t="n"/>
      <c r="C19" s="48" t="n"/>
      <c r="D19" s="51" t="n"/>
      <c r="E19" s="48" t="n"/>
      <c r="F19" s="49" t="n"/>
      <c r="G19" s="49" t="n"/>
      <c r="H19" s="48" t="n"/>
    </row>
    <row r="20" ht="15" customHeight="1" s="30">
      <c r="A20" s="48" t="n"/>
      <c r="B20" s="53" t="n"/>
      <c r="C20" s="48" t="n"/>
      <c r="D20" s="51" t="n"/>
      <c r="E20" s="48" t="n"/>
      <c r="F20" s="49" t="n"/>
      <c r="G20" s="49" t="n"/>
      <c r="H20" s="48" t="n"/>
    </row>
    <row r="21" ht="15" customHeight="1" s="30">
      <c r="A21" s="48" t="n"/>
      <c r="B21" s="53" t="n"/>
      <c r="C21" s="48" t="n"/>
      <c r="D21" s="51" t="n"/>
      <c r="E21" s="48" t="n"/>
      <c r="F21" s="49" t="n"/>
      <c r="G21" s="49" t="n"/>
      <c r="H21" s="48" t="n"/>
    </row>
    <row r="22" ht="15" customHeight="1" s="30">
      <c r="A22" s="48" t="n"/>
      <c r="B22" s="53" t="n"/>
      <c r="C22" s="48" t="n"/>
      <c r="D22" s="51" t="n"/>
      <c r="E22" s="48" t="n"/>
      <c r="F22" s="49" t="n"/>
      <c r="G22" s="49" t="n"/>
      <c r="H22" s="48" t="n"/>
    </row>
    <row r="23" ht="15" customHeight="1" s="30">
      <c r="A23" s="48" t="n"/>
      <c r="B23" s="53" t="n"/>
      <c r="C23" s="48" t="n"/>
      <c r="D23" s="51" t="n"/>
      <c r="E23" s="48" t="n"/>
      <c r="F23" s="49" t="n"/>
      <c r="G23" s="49" t="n"/>
      <c r="H23" s="48" t="n"/>
    </row>
    <row r="24" ht="15" customHeight="1" s="30">
      <c r="A24" s="48" t="n"/>
      <c r="B24" s="53" t="n"/>
      <c r="C24" s="48" t="n"/>
      <c r="D24" s="51" t="n"/>
      <c r="E24" s="48" t="n"/>
      <c r="F24" s="49" t="n"/>
      <c r="G24" s="49" t="n"/>
      <c r="H24" s="48" t="n"/>
    </row>
    <row r="25" ht="15" customHeight="1" s="30">
      <c r="A25" s="48" t="n"/>
      <c r="B25" s="53" t="n"/>
      <c r="C25" s="48" t="n"/>
      <c r="D25" s="51" t="n"/>
      <c r="E25" s="48" t="n"/>
      <c r="F25" s="49" t="n"/>
      <c r="G25" s="49" t="n"/>
      <c r="H25" s="48" t="n"/>
    </row>
    <row r="26" ht="15" customHeight="1" s="30">
      <c r="A26" s="48" t="n"/>
      <c r="B26" s="53" t="n"/>
      <c r="C26" s="48" t="n"/>
      <c r="D26" s="51" t="n"/>
      <c r="E26" s="48" t="n"/>
      <c r="F26" s="49" t="n"/>
      <c r="G26" s="49" t="n"/>
      <c r="H26" s="48" t="n"/>
    </row>
    <row r="27" ht="15" customHeight="1" s="30">
      <c r="A27" s="48" t="n"/>
      <c r="B27" s="53" t="n"/>
      <c r="C27" s="48" t="n"/>
      <c r="D27" s="51" t="n"/>
      <c r="E27" s="48" t="n"/>
      <c r="F27" s="49" t="n"/>
      <c r="G27" s="49" t="n"/>
      <c r="H27" s="48" t="n"/>
    </row>
    <row r="28" ht="15" customHeight="1" s="30">
      <c r="A28" s="48" t="n"/>
      <c r="B28" s="53" t="n"/>
      <c r="C28" s="48" t="n"/>
      <c r="D28" s="51" t="n"/>
      <c r="E28" s="48" t="n"/>
      <c r="F28" s="49" t="n"/>
      <c r="G28" s="49" t="n"/>
      <c r="H28" s="48" t="n"/>
    </row>
    <row r="29" ht="15" customHeight="1" s="30">
      <c r="A29" s="48" t="n"/>
      <c r="B29" s="53" t="n"/>
      <c r="C29" s="48" t="n"/>
      <c r="D29" s="51" t="n"/>
      <c r="E29" s="48" t="n"/>
      <c r="F29" s="49" t="n"/>
      <c r="G29" s="49" t="n"/>
      <c r="H29" s="48" t="n"/>
    </row>
    <row r="30" ht="15" customHeight="1" s="30">
      <c r="A30" s="48" t="n"/>
      <c r="B30" s="53" t="n"/>
      <c r="C30" s="48" t="n"/>
      <c r="D30" s="51" t="n"/>
      <c r="E30" s="48" t="n"/>
      <c r="F30" s="49" t="n"/>
      <c r="G30" s="49" t="n"/>
      <c r="H30" s="48" t="n"/>
    </row>
    <row r="31" ht="15" customHeight="1" s="30">
      <c r="A31" s="48" t="n"/>
      <c r="B31" s="53" t="n"/>
      <c r="C31" s="48" t="n"/>
      <c r="D31" s="51" t="n"/>
      <c r="E31" s="48" t="n"/>
      <c r="F31" s="49" t="n"/>
      <c r="G31" s="49" t="n"/>
      <c r="H31" s="48" t="n"/>
    </row>
    <row r="32" ht="15" customHeight="1" s="30">
      <c r="A32" s="48" t="n"/>
      <c r="B32" s="53" t="n"/>
      <c r="C32" s="48" t="n"/>
      <c r="D32" s="51" t="n"/>
      <c r="E32" s="48" t="n"/>
      <c r="F32" s="49" t="n"/>
      <c r="G32" s="49" t="n"/>
      <c r="H32" s="48" t="n"/>
    </row>
    <row r="33" ht="15" customHeight="1" s="30">
      <c r="A33" s="48" t="n"/>
      <c r="B33" s="53" t="n"/>
      <c r="C33" s="48" t="n"/>
      <c r="D33" s="51" t="n"/>
      <c r="E33" s="48" t="n"/>
      <c r="F33" s="49" t="n"/>
      <c r="G33" s="49" t="n"/>
      <c r="H33" s="48" t="n"/>
    </row>
    <row r="34" ht="15" customHeight="1" s="30">
      <c r="A34" s="48" t="n"/>
      <c r="B34" s="53" t="n"/>
      <c r="C34" s="48" t="n"/>
      <c r="D34" s="51" t="n"/>
      <c r="E34" s="48" t="n"/>
      <c r="F34" s="49" t="n"/>
      <c r="G34" s="49" t="n"/>
      <c r="H34" s="48" t="n"/>
    </row>
    <row r="35" ht="15" customHeight="1" s="30">
      <c r="A35" s="48" t="n"/>
      <c r="B35" s="53" t="n"/>
      <c r="C35" s="48" t="n"/>
      <c r="D35" s="51" t="n"/>
      <c r="E35" s="48" t="n"/>
      <c r="F35" s="49" t="n"/>
      <c r="G35" s="49" t="n"/>
      <c r="H35" s="48" t="n"/>
    </row>
    <row r="36" ht="15" customHeight="1" s="30">
      <c r="A36" s="48" t="n"/>
      <c r="B36" s="53" t="n"/>
      <c r="C36" s="48" t="n"/>
      <c r="D36" s="51" t="n"/>
      <c r="E36" s="48" t="n"/>
      <c r="F36" s="49" t="n"/>
      <c r="G36" s="49" t="n"/>
      <c r="H36" s="48" t="n"/>
    </row>
    <row r="37" ht="15" customHeight="1" s="30">
      <c r="A37" s="48" t="n"/>
      <c r="B37" s="53" t="n"/>
      <c r="C37" s="48" t="n"/>
      <c r="D37" s="51" t="n"/>
      <c r="E37" s="48" t="n"/>
      <c r="F37" s="49" t="n"/>
      <c r="G37" s="49" t="n"/>
      <c r="H37" s="48" t="n"/>
    </row>
    <row r="38" ht="15" customHeight="1" s="30">
      <c r="A38" s="48" t="n"/>
      <c r="B38" s="53" t="n"/>
      <c r="C38" s="48" t="n"/>
      <c r="D38" s="51" t="n"/>
      <c r="E38" s="48" t="n"/>
      <c r="F38" s="49" t="n"/>
      <c r="G38" s="49" t="n"/>
      <c r="H38" s="48" t="n"/>
    </row>
    <row r="39" ht="15" customHeight="1" s="30">
      <c r="A39" s="48" t="n"/>
      <c r="B39" s="53" t="n"/>
      <c r="C39" s="48" t="n"/>
      <c r="D39" s="51" t="n"/>
      <c r="E39" s="48" t="n"/>
      <c r="F39" s="49" t="n"/>
      <c r="G39" s="49" t="n"/>
      <c r="H39" s="48" t="n"/>
    </row>
    <row r="40" ht="15" customHeight="1" s="30">
      <c r="A40" s="48" t="n"/>
      <c r="B40" s="53" t="n"/>
      <c r="C40" s="48" t="n"/>
      <c r="D40" s="51" t="n"/>
      <c r="E40" s="48" t="n"/>
      <c r="F40" s="49" t="n"/>
      <c r="G40" s="49" t="n"/>
      <c r="H40" s="48" t="n"/>
    </row>
    <row r="41" ht="15" customHeight="1" s="30">
      <c r="A41" s="48" t="n"/>
      <c r="B41" s="53" t="n"/>
      <c r="C41" s="48" t="n"/>
      <c r="D41" s="51" t="n"/>
      <c r="E41" s="48" t="n"/>
      <c r="F41" s="49" t="n"/>
      <c r="G41" s="49" t="n"/>
      <c r="H41" s="48" t="n"/>
    </row>
    <row r="42" ht="15" customHeight="1" s="30">
      <c r="A42" s="48" t="n"/>
      <c r="B42" s="53" t="n"/>
      <c r="C42" s="48" t="n"/>
      <c r="D42" s="51" t="n"/>
      <c r="E42" s="48" t="n"/>
      <c r="F42" s="49" t="n"/>
      <c r="G42" s="49" t="n"/>
      <c r="H42" s="48" t="n"/>
    </row>
    <row r="43" ht="15" customHeight="1" s="30">
      <c r="A43" s="48" t="n"/>
      <c r="B43" s="53" t="n"/>
      <c r="C43" s="48" t="n"/>
      <c r="D43" s="51" t="n"/>
      <c r="E43" s="48" t="n"/>
      <c r="F43" s="49" t="n"/>
      <c r="G43" s="49" t="n"/>
      <c r="H43" s="48" t="n"/>
    </row>
    <row r="44" ht="15" customHeight="1" s="30">
      <c r="A44" s="48" t="n"/>
      <c r="B44" s="53" t="n"/>
      <c r="C44" s="48" t="n"/>
      <c r="D44" s="51" t="n"/>
      <c r="E44" s="48" t="n"/>
      <c r="F44" s="49" t="n"/>
      <c r="G44" s="49" t="n"/>
      <c r="H44" s="48" t="n"/>
    </row>
    <row r="45" ht="15" customHeight="1" s="30">
      <c r="A45" s="48" t="n"/>
      <c r="B45" s="53" t="n"/>
      <c r="C45" s="48" t="n"/>
      <c r="D45" s="51" t="n"/>
      <c r="E45" s="48" t="n"/>
      <c r="F45" s="49" t="n"/>
      <c r="G45" s="49" t="n"/>
      <c r="H45" s="48" t="n"/>
    </row>
    <row r="46" ht="15" customHeight="1" s="30">
      <c r="A46" s="48" t="n"/>
      <c r="B46" s="53" t="n"/>
      <c r="C46" s="48" t="n"/>
      <c r="D46" s="51" t="n"/>
      <c r="E46" s="48" t="n"/>
      <c r="F46" s="49" t="n"/>
      <c r="G46" s="49" t="n"/>
      <c r="H46" s="48" t="n"/>
    </row>
    <row r="47" ht="15" customHeight="1" s="30">
      <c r="A47" s="48" t="n"/>
      <c r="B47" s="53" t="n"/>
      <c r="C47" s="48" t="n"/>
      <c r="D47" s="51" t="n"/>
      <c r="E47" s="48" t="n"/>
      <c r="F47" s="49" t="n"/>
      <c r="G47" s="49" t="n"/>
      <c r="H47" s="48" t="n"/>
    </row>
    <row r="48" ht="15" customHeight="1" s="30">
      <c r="A48" s="48" t="n"/>
      <c r="B48" s="53" t="n"/>
      <c r="C48" s="48" t="n"/>
      <c r="D48" s="51" t="n"/>
      <c r="E48" s="48" t="n"/>
      <c r="F48" s="49" t="n"/>
      <c r="G48" s="49" t="n"/>
      <c r="H48" s="48" t="n"/>
    </row>
    <row r="49" ht="15" customHeight="1" s="30">
      <c r="A49" s="48" t="n"/>
      <c r="B49" s="53" t="n"/>
      <c r="C49" s="48" t="n"/>
      <c r="D49" s="51" t="n"/>
      <c r="E49" s="48" t="n"/>
      <c r="F49" s="49" t="n"/>
      <c r="G49" s="49" t="n"/>
      <c r="H49" s="48" t="n"/>
    </row>
    <row r="50" ht="15" customHeight="1" s="30">
      <c r="A50" s="48" t="n"/>
      <c r="B50" s="53" t="n"/>
      <c r="C50" s="48" t="n"/>
      <c r="D50" s="51" t="n"/>
      <c r="E50" s="48" t="n"/>
      <c r="F50" s="49" t="n"/>
      <c r="G50" s="49" t="n"/>
      <c r="H50" s="48" t="n"/>
    </row>
    <row r="51" ht="15" customHeight="1" s="30">
      <c r="A51" s="48" t="n"/>
      <c r="B51" s="53" t="n"/>
      <c r="C51" s="48" t="n"/>
      <c r="D51" s="51" t="n"/>
      <c r="E51" s="48" t="n"/>
      <c r="F51" s="49" t="n"/>
      <c r="G51" s="49" t="n"/>
      <c r="H51" s="48" t="n"/>
    </row>
    <row r="52" ht="15" customHeight="1" s="30">
      <c r="A52" s="48" t="n"/>
      <c r="B52" s="53" t="n"/>
      <c r="C52" s="48" t="n"/>
      <c r="D52" s="51" t="n"/>
      <c r="E52" s="48" t="n"/>
      <c r="F52" s="49" t="n"/>
      <c r="G52" s="49" t="n"/>
      <c r="H52" s="48" t="n"/>
    </row>
    <row r="53" ht="15" customHeight="1" s="30">
      <c r="A53" s="48" t="n"/>
      <c r="B53" s="53" t="n"/>
      <c r="C53" s="48" t="n"/>
      <c r="D53" s="51" t="n"/>
      <c r="E53" s="48" t="n"/>
      <c r="F53" s="49" t="n"/>
      <c r="G53" s="49" t="n"/>
      <c r="H53" s="48" t="n"/>
    </row>
    <row r="54" ht="15" customHeight="1" s="30">
      <c r="A54" s="48" t="n"/>
      <c r="B54" s="53" t="n"/>
      <c r="C54" s="48" t="n"/>
      <c r="D54" s="51" t="n"/>
      <c r="E54" s="48" t="n"/>
      <c r="F54" s="49" t="n"/>
      <c r="G54" s="49" t="n"/>
      <c r="H54" s="48" t="n"/>
    </row>
    <row r="55" ht="15" customHeight="1" s="30">
      <c r="A55" s="48" t="n"/>
      <c r="B55" s="53" t="n"/>
      <c r="C55" s="48" t="n"/>
      <c r="D55" s="51" t="n"/>
      <c r="E55" s="48" t="n"/>
      <c r="F55" s="49" t="n"/>
      <c r="G55" s="49" t="n"/>
      <c r="H55" s="48" t="n"/>
    </row>
    <row r="56" ht="15" customHeight="1" s="30">
      <c r="A56" s="48" t="n"/>
      <c r="B56" s="53" t="n"/>
      <c r="C56" s="48" t="n"/>
      <c r="D56" s="51" t="n"/>
      <c r="E56" s="48" t="n"/>
      <c r="F56" s="49" t="n"/>
      <c r="G56" s="49" t="n"/>
      <c r="H56" s="48" t="n"/>
    </row>
    <row r="57" ht="15" customHeight="1" s="30">
      <c r="A57" s="48" t="n"/>
      <c r="B57" s="53" t="n"/>
      <c r="C57" s="48" t="n"/>
      <c r="D57" s="51" t="n"/>
      <c r="E57" s="48" t="n"/>
      <c r="F57" s="49" t="n"/>
      <c r="G57" s="49" t="n"/>
      <c r="H57" s="48" t="n"/>
    </row>
    <row r="58" ht="15" customHeight="1" s="30">
      <c r="A58" s="48" t="n"/>
      <c r="B58" s="53" t="n"/>
      <c r="C58" s="48" t="n"/>
      <c r="D58" s="51" t="n"/>
      <c r="E58" s="48" t="n"/>
      <c r="F58" s="49" t="n"/>
      <c r="G58" s="49" t="n"/>
      <c r="H58" s="48" t="n"/>
    </row>
    <row r="59" ht="15" customHeight="1" s="30">
      <c r="A59" s="48" t="n"/>
      <c r="B59" s="53" t="n"/>
      <c r="C59" s="48" t="n"/>
      <c r="D59" s="51" t="n"/>
      <c r="E59" s="48" t="n"/>
      <c r="F59" s="49" t="n"/>
      <c r="G59" s="49" t="n"/>
      <c r="H59" s="48" t="n"/>
    </row>
    <row r="60" ht="15" customHeight="1" s="30">
      <c r="A60" s="48" t="n"/>
      <c r="B60" s="53" t="n"/>
      <c r="C60" s="48" t="n"/>
      <c r="D60" s="51" t="n"/>
      <c r="E60" s="48" t="n"/>
      <c r="F60" s="49" t="n"/>
      <c r="G60" s="49" t="n"/>
      <c r="H60" s="48" t="n"/>
    </row>
    <row r="61" ht="15" customHeight="1" s="30">
      <c r="A61" s="48" t="n"/>
      <c r="B61" s="53" t="n"/>
      <c r="C61" s="48" t="n"/>
      <c r="D61" s="51" t="n"/>
      <c r="E61" s="48" t="n"/>
      <c r="F61" s="49" t="n"/>
      <c r="G61" s="49" t="n"/>
      <c r="H61" s="48" t="n"/>
    </row>
    <row r="62" ht="15" customHeight="1" s="30">
      <c r="A62" s="48" t="n"/>
      <c r="B62" s="53" t="n"/>
      <c r="C62" s="48" t="n"/>
      <c r="D62" s="51" t="n"/>
      <c r="E62" s="48" t="n"/>
      <c r="F62" s="49" t="n"/>
      <c r="G62" s="49" t="n"/>
      <c r="H62" s="48" t="n"/>
    </row>
    <row r="63" ht="15" customHeight="1" s="30">
      <c r="A63" s="48" t="n"/>
      <c r="B63" s="53" t="n"/>
      <c r="C63" s="48" t="n"/>
      <c r="D63" s="51" t="n"/>
      <c r="E63" s="48" t="n"/>
      <c r="F63" s="49" t="n"/>
      <c r="G63" s="49" t="n"/>
      <c r="H63" s="48" t="n"/>
    </row>
    <row r="64" ht="15" customHeight="1" s="30">
      <c r="A64" s="48" t="n"/>
      <c r="B64" s="53" t="n"/>
      <c r="C64" s="48" t="n"/>
      <c r="D64" s="51" t="n"/>
      <c r="E64" s="48" t="n"/>
      <c r="F64" s="49" t="n"/>
      <c r="G64" s="49" t="n"/>
      <c r="H64" s="48" t="n"/>
    </row>
  </sheetData>
  <autoFilter ref="A4:H64"/>
  <dataValidations count="1">
    <dataValidation sqref="H5:H64" showDropDown="0" showInputMessage="0" showErrorMessage="0" allowBlank="1" type="list" errorStyle="stop" operator="between">
      <formula1>"Pendiente,Aplicado,Error"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tabColor rgb="FF452E27"/>
    <outlinePr summaryBelow="1" summaryRight="1"/>
    <pageSetUpPr fitToPage="0"/>
  </sheetPr>
  <dimension ref="A1:L6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9" min="1" max="1"/>
    <col width="9" customWidth="1" style="29" min="2" max="2"/>
    <col width="11" customWidth="1" style="29" min="3" max="3"/>
    <col width="40" customWidth="1" style="29" min="4" max="4"/>
    <col width="13" customWidth="1" style="29" min="5" max="5"/>
    <col width="22" customWidth="1" style="29" min="6" max="6"/>
    <col width="11" customWidth="1" style="29" min="7" max="7"/>
    <col width="34" customWidth="1" style="29" min="8" max="8"/>
    <col width="11" customWidth="1" style="29" min="9" max="9"/>
    <col width="26" customWidth="1" style="29" min="10" max="10"/>
    <col width="12" customWidth="1" style="29" min="11" max="11"/>
    <col width="14" customWidth="1" style="29" min="12" max="12"/>
  </cols>
  <sheetData>
    <row r="1" ht="19.7" customHeight="1" s="30">
      <c r="A1" s="31" t="inlineStr">
        <is>
          <t>Ajustes contables del banco</t>
        </is>
      </c>
    </row>
    <row r="2" ht="15" customHeight="1" s="30">
      <c r="A2" s="32" t="inlineStr">
        <is>
          <t>Comisiones, IVA de comisiones, compras sin CFDI, depósitos no identificados y redondeos.</t>
        </is>
      </c>
    </row>
    <row r="4" ht="33.75" customHeight="1" s="30">
      <c r="A4" s="44" t="inlineStr">
        <is>
          <t>ID</t>
        </is>
      </c>
      <c r="B4" s="44" t="inlineStr">
        <is>
          <t>ID mov.</t>
        </is>
      </c>
      <c r="C4" s="44" t="inlineStr">
        <is>
          <t>Fecha</t>
        </is>
      </c>
      <c r="D4" s="44" t="inlineStr">
        <is>
          <t>Concepto</t>
        </is>
      </c>
      <c r="E4" s="44" t="inlineStr">
        <is>
          <t>Importe</t>
        </is>
      </c>
      <c r="F4" s="44" t="inlineStr">
        <is>
          <t>Tipo de ajuste</t>
        </is>
      </c>
      <c r="G4" s="44" t="inlineStr">
        <is>
          <t>¿Tiene CFDI?</t>
        </is>
      </c>
      <c r="H4" s="44" t="inlineStr">
        <is>
          <t>Cuenta propuesta</t>
        </is>
      </c>
      <c r="I4" s="45" t="inlineStr">
        <is>
          <t>Aprobado</t>
        </is>
      </c>
      <c r="J4" s="45" t="inlineStr">
        <is>
          <t>Comentario</t>
        </is>
      </c>
      <c r="K4" s="44" t="inlineStr">
        <is>
          <t>Estado</t>
        </is>
      </c>
      <c r="L4" s="44" t="inlineStr">
        <is>
          <t>IDs resultado</t>
        </is>
      </c>
    </row>
    <row r="5" ht="23.85" customHeight="1" s="30">
      <c r="A5" s="46" t="inlineStr">
        <is>
          <t>A001</t>
        </is>
      </c>
      <c r="B5" s="46" t="inlineStr">
        <is>
          <t>M052</t>
        </is>
      </c>
      <c r="C5" s="50" t="n">
        <v>46265</v>
      </c>
      <c r="D5" s="46" t="inlineStr">
        <is>
          <t>V46 APLI TASA DE DES CREDITO TERMINALES PUNTO DE VENTA</t>
        </is>
      </c>
      <c r="E5" s="52" t="n">
        <v>-123.09</v>
      </c>
      <c r="F5" s="46" t="inlineStr">
        <is>
          <t>Comisión terminal</t>
        </is>
      </c>
      <c r="G5" s="46" t="inlineStr">
        <is>
          <t>No</t>
        </is>
      </c>
      <c r="H5" s="46" t="inlineStr">
        <is>
          <t>701.10.01 Bank fees</t>
        </is>
      </c>
      <c r="I5" s="47" t="inlineStr">
        <is>
          <t>Sí</t>
        </is>
      </c>
      <c r="J5" s="47" t="n"/>
      <c r="K5" s="46" t="inlineStr">
        <is>
          <t>Aplicado</t>
        </is>
      </c>
      <c r="L5" s="46" t="inlineStr">
        <is>
          <t>BBVA/2026/00245</t>
        </is>
      </c>
    </row>
    <row r="6" ht="15" customHeight="1" s="30">
      <c r="A6" s="48" t="n"/>
      <c r="B6" s="48" t="n"/>
      <c r="C6" s="53" t="n"/>
      <c r="D6" s="48" t="n"/>
      <c r="E6" s="51" t="n"/>
      <c r="F6" s="48" t="n"/>
      <c r="G6" s="48" t="n"/>
      <c r="H6" s="48" t="n"/>
      <c r="I6" s="49" t="n"/>
      <c r="J6" s="49" t="n"/>
      <c r="K6" s="48" t="n"/>
      <c r="L6" s="48" t="n"/>
    </row>
    <row r="7" ht="15" customHeight="1" s="30">
      <c r="A7" s="48" t="n"/>
      <c r="B7" s="48" t="n"/>
      <c r="C7" s="53" t="n"/>
      <c r="D7" s="48" t="n"/>
      <c r="E7" s="51" t="n"/>
      <c r="F7" s="48" t="n"/>
      <c r="G7" s="48" t="n"/>
      <c r="H7" s="48" t="n"/>
      <c r="I7" s="49" t="n"/>
      <c r="J7" s="49" t="n"/>
      <c r="K7" s="48" t="n"/>
      <c r="L7" s="48" t="n"/>
    </row>
    <row r="8" ht="15" customHeight="1" s="30">
      <c r="A8" s="48" t="n"/>
      <c r="B8" s="48" t="n"/>
      <c r="C8" s="53" t="n"/>
      <c r="D8" s="48" t="n"/>
      <c r="E8" s="51" t="n"/>
      <c r="F8" s="48" t="n"/>
      <c r="G8" s="48" t="n"/>
      <c r="H8" s="48" t="n"/>
      <c r="I8" s="49" t="n"/>
      <c r="J8" s="49" t="n"/>
      <c r="K8" s="48" t="n"/>
      <c r="L8" s="48" t="n"/>
    </row>
    <row r="9" ht="15" customHeight="1" s="30">
      <c r="A9" s="48" t="n"/>
      <c r="B9" s="48" t="n"/>
      <c r="C9" s="53" t="n"/>
      <c r="D9" s="48" t="n"/>
      <c r="E9" s="51" t="n"/>
      <c r="F9" s="48" t="n"/>
      <c r="G9" s="48" t="n"/>
      <c r="H9" s="48" t="n"/>
      <c r="I9" s="49" t="n"/>
      <c r="J9" s="49" t="n"/>
      <c r="K9" s="48" t="n"/>
      <c r="L9" s="48" t="n"/>
    </row>
    <row r="10" ht="15" customHeight="1" s="30">
      <c r="A10" s="48" t="n"/>
      <c r="B10" s="48" t="n"/>
      <c r="C10" s="53" t="n"/>
      <c r="D10" s="48" t="n"/>
      <c r="E10" s="51" t="n"/>
      <c r="F10" s="48" t="n"/>
      <c r="G10" s="48" t="n"/>
      <c r="H10" s="48" t="n"/>
      <c r="I10" s="49" t="n"/>
      <c r="J10" s="49" t="n"/>
      <c r="K10" s="48" t="n"/>
      <c r="L10" s="48" t="n"/>
    </row>
    <row r="11" ht="15" customHeight="1" s="30">
      <c r="A11" s="48" t="n"/>
      <c r="B11" s="48" t="n"/>
      <c r="C11" s="53" t="n"/>
      <c r="D11" s="48" t="n"/>
      <c r="E11" s="51" t="n"/>
      <c r="F11" s="48" t="n"/>
      <c r="G11" s="48" t="n"/>
      <c r="H11" s="48" t="n"/>
      <c r="I11" s="49" t="n"/>
      <c r="J11" s="49" t="n"/>
      <c r="K11" s="48" t="n"/>
      <c r="L11" s="48" t="n"/>
    </row>
    <row r="12" ht="15" customHeight="1" s="30">
      <c r="A12" s="48" t="n"/>
      <c r="B12" s="48" t="n"/>
      <c r="C12" s="53" t="n"/>
      <c r="D12" s="48" t="n"/>
      <c r="E12" s="51" t="n"/>
      <c r="F12" s="48" t="n"/>
      <c r="G12" s="48" t="n"/>
      <c r="H12" s="48" t="n"/>
      <c r="I12" s="49" t="n"/>
      <c r="J12" s="49" t="n"/>
      <c r="K12" s="48" t="n"/>
      <c r="L12" s="48" t="n"/>
    </row>
    <row r="13" ht="15" customHeight="1" s="30">
      <c r="A13" s="48" t="n"/>
      <c r="B13" s="48" t="n"/>
      <c r="C13" s="53" t="n"/>
      <c r="D13" s="48" t="n"/>
      <c r="E13" s="51" t="n"/>
      <c r="F13" s="48" t="n"/>
      <c r="G13" s="48" t="n"/>
      <c r="H13" s="48" t="n"/>
      <c r="I13" s="49" t="n"/>
      <c r="J13" s="49" t="n"/>
      <c r="K13" s="48" t="n"/>
      <c r="L13" s="48" t="n"/>
    </row>
    <row r="14" ht="15" customHeight="1" s="30">
      <c r="A14" s="48" t="n"/>
      <c r="B14" s="48" t="n"/>
      <c r="C14" s="53" t="n"/>
      <c r="D14" s="48" t="n"/>
      <c r="E14" s="51" t="n"/>
      <c r="F14" s="48" t="n"/>
      <c r="G14" s="48" t="n"/>
      <c r="H14" s="48" t="n"/>
      <c r="I14" s="49" t="n"/>
      <c r="J14" s="49" t="n"/>
      <c r="K14" s="48" t="n"/>
      <c r="L14" s="48" t="n"/>
    </row>
    <row r="15" ht="15" customHeight="1" s="30">
      <c r="A15" s="48" t="n"/>
      <c r="B15" s="48" t="n"/>
      <c r="C15" s="53" t="n"/>
      <c r="D15" s="48" t="n"/>
      <c r="E15" s="51" t="n"/>
      <c r="F15" s="48" t="n"/>
      <c r="G15" s="48" t="n"/>
      <c r="H15" s="48" t="n"/>
      <c r="I15" s="49" t="n"/>
      <c r="J15" s="49" t="n"/>
      <c r="K15" s="48" t="n"/>
      <c r="L15" s="48" t="n"/>
    </row>
    <row r="16" ht="15" customHeight="1" s="30">
      <c r="A16" s="48" t="n"/>
      <c r="B16" s="48" t="n"/>
      <c r="C16" s="53" t="n"/>
      <c r="D16" s="48" t="n"/>
      <c r="E16" s="51" t="n"/>
      <c r="F16" s="48" t="n"/>
      <c r="G16" s="48" t="n"/>
      <c r="H16" s="48" t="n"/>
      <c r="I16" s="49" t="n"/>
      <c r="J16" s="49" t="n"/>
      <c r="K16" s="48" t="n"/>
      <c r="L16" s="48" t="n"/>
    </row>
    <row r="17" ht="15" customHeight="1" s="30">
      <c r="A17" s="48" t="n"/>
      <c r="B17" s="48" t="n"/>
      <c r="C17" s="53" t="n"/>
      <c r="D17" s="48" t="n"/>
      <c r="E17" s="51" t="n"/>
      <c r="F17" s="48" t="n"/>
      <c r="G17" s="48" t="n"/>
      <c r="H17" s="48" t="n"/>
      <c r="I17" s="49" t="n"/>
      <c r="J17" s="49" t="n"/>
      <c r="K17" s="48" t="n"/>
      <c r="L17" s="48" t="n"/>
    </row>
    <row r="18" ht="15" customHeight="1" s="30">
      <c r="A18" s="48" t="n"/>
      <c r="B18" s="48" t="n"/>
      <c r="C18" s="53" t="n"/>
      <c r="D18" s="48" t="n"/>
      <c r="E18" s="51" t="n"/>
      <c r="F18" s="48" t="n"/>
      <c r="G18" s="48" t="n"/>
      <c r="H18" s="48" t="n"/>
      <c r="I18" s="49" t="n"/>
      <c r="J18" s="49" t="n"/>
      <c r="K18" s="48" t="n"/>
      <c r="L18" s="48" t="n"/>
    </row>
    <row r="19" ht="15" customHeight="1" s="30">
      <c r="A19" s="48" t="n"/>
      <c r="B19" s="48" t="n"/>
      <c r="C19" s="53" t="n"/>
      <c r="D19" s="48" t="n"/>
      <c r="E19" s="51" t="n"/>
      <c r="F19" s="48" t="n"/>
      <c r="G19" s="48" t="n"/>
      <c r="H19" s="48" t="n"/>
      <c r="I19" s="49" t="n"/>
      <c r="J19" s="49" t="n"/>
      <c r="K19" s="48" t="n"/>
      <c r="L19" s="48" t="n"/>
    </row>
    <row r="20" ht="15" customHeight="1" s="30">
      <c r="A20" s="48" t="n"/>
      <c r="B20" s="48" t="n"/>
      <c r="C20" s="53" t="n"/>
      <c r="D20" s="48" t="n"/>
      <c r="E20" s="51" t="n"/>
      <c r="F20" s="48" t="n"/>
      <c r="G20" s="48" t="n"/>
      <c r="H20" s="48" t="n"/>
      <c r="I20" s="49" t="n"/>
      <c r="J20" s="49" t="n"/>
      <c r="K20" s="48" t="n"/>
      <c r="L20" s="48" t="n"/>
    </row>
    <row r="21" ht="15" customHeight="1" s="30">
      <c r="A21" s="48" t="n"/>
      <c r="B21" s="48" t="n"/>
      <c r="C21" s="53" t="n"/>
      <c r="D21" s="48" t="n"/>
      <c r="E21" s="51" t="n"/>
      <c r="F21" s="48" t="n"/>
      <c r="G21" s="48" t="n"/>
      <c r="H21" s="48" t="n"/>
      <c r="I21" s="49" t="n"/>
      <c r="J21" s="49" t="n"/>
      <c r="K21" s="48" t="n"/>
      <c r="L21" s="48" t="n"/>
    </row>
    <row r="22" ht="15" customHeight="1" s="30">
      <c r="A22" s="48" t="n"/>
      <c r="B22" s="48" t="n"/>
      <c r="C22" s="53" t="n"/>
      <c r="D22" s="48" t="n"/>
      <c r="E22" s="51" t="n"/>
      <c r="F22" s="48" t="n"/>
      <c r="G22" s="48" t="n"/>
      <c r="H22" s="48" t="n"/>
      <c r="I22" s="49" t="n"/>
      <c r="J22" s="49" t="n"/>
      <c r="K22" s="48" t="n"/>
      <c r="L22" s="48" t="n"/>
    </row>
    <row r="23" ht="15" customHeight="1" s="30">
      <c r="A23" s="48" t="n"/>
      <c r="B23" s="48" t="n"/>
      <c r="C23" s="53" t="n"/>
      <c r="D23" s="48" t="n"/>
      <c r="E23" s="51" t="n"/>
      <c r="F23" s="48" t="n"/>
      <c r="G23" s="48" t="n"/>
      <c r="H23" s="48" t="n"/>
      <c r="I23" s="49" t="n"/>
      <c r="J23" s="49" t="n"/>
      <c r="K23" s="48" t="n"/>
      <c r="L23" s="48" t="n"/>
    </row>
    <row r="24" ht="15" customHeight="1" s="30">
      <c r="A24" s="48" t="n"/>
      <c r="B24" s="48" t="n"/>
      <c r="C24" s="53" t="n"/>
      <c r="D24" s="48" t="n"/>
      <c r="E24" s="51" t="n"/>
      <c r="F24" s="48" t="n"/>
      <c r="G24" s="48" t="n"/>
      <c r="H24" s="48" t="n"/>
      <c r="I24" s="49" t="n"/>
      <c r="J24" s="49" t="n"/>
      <c r="K24" s="48" t="n"/>
      <c r="L24" s="48" t="n"/>
    </row>
    <row r="25" ht="15" customHeight="1" s="30">
      <c r="A25" s="48" t="n"/>
      <c r="B25" s="48" t="n"/>
      <c r="C25" s="53" t="n"/>
      <c r="D25" s="48" t="n"/>
      <c r="E25" s="51" t="n"/>
      <c r="F25" s="48" t="n"/>
      <c r="G25" s="48" t="n"/>
      <c r="H25" s="48" t="n"/>
      <c r="I25" s="49" t="n"/>
      <c r="J25" s="49" t="n"/>
      <c r="K25" s="48" t="n"/>
      <c r="L25" s="48" t="n"/>
    </row>
    <row r="26" ht="15" customHeight="1" s="30">
      <c r="A26" s="48" t="n"/>
      <c r="B26" s="48" t="n"/>
      <c r="C26" s="53" t="n"/>
      <c r="D26" s="48" t="n"/>
      <c r="E26" s="51" t="n"/>
      <c r="F26" s="48" t="n"/>
      <c r="G26" s="48" t="n"/>
      <c r="H26" s="48" t="n"/>
      <c r="I26" s="49" t="n"/>
      <c r="J26" s="49" t="n"/>
      <c r="K26" s="48" t="n"/>
      <c r="L26" s="48" t="n"/>
    </row>
    <row r="27" ht="15" customHeight="1" s="30">
      <c r="A27" s="48" t="n"/>
      <c r="B27" s="48" t="n"/>
      <c r="C27" s="53" t="n"/>
      <c r="D27" s="48" t="n"/>
      <c r="E27" s="51" t="n"/>
      <c r="F27" s="48" t="n"/>
      <c r="G27" s="48" t="n"/>
      <c r="H27" s="48" t="n"/>
      <c r="I27" s="49" t="n"/>
      <c r="J27" s="49" t="n"/>
      <c r="K27" s="48" t="n"/>
      <c r="L27" s="48" t="n"/>
    </row>
    <row r="28" ht="15" customHeight="1" s="30">
      <c r="A28" s="48" t="n"/>
      <c r="B28" s="48" t="n"/>
      <c r="C28" s="53" t="n"/>
      <c r="D28" s="48" t="n"/>
      <c r="E28" s="51" t="n"/>
      <c r="F28" s="48" t="n"/>
      <c r="G28" s="48" t="n"/>
      <c r="H28" s="48" t="n"/>
      <c r="I28" s="49" t="n"/>
      <c r="J28" s="49" t="n"/>
      <c r="K28" s="48" t="n"/>
      <c r="L28" s="48" t="n"/>
    </row>
    <row r="29" ht="15" customHeight="1" s="30">
      <c r="A29" s="48" t="n"/>
      <c r="B29" s="48" t="n"/>
      <c r="C29" s="53" t="n"/>
      <c r="D29" s="48" t="n"/>
      <c r="E29" s="51" t="n"/>
      <c r="F29" s="48" t="n"/>
      <c r="G29" s="48" t="n"/>
      <c r="H29" s="48" t="n"/>
      <c r="I29" s="49" t="n"/>
      <c r="J29" s="49" t="n"/>
      <c r="K29" s="48" t="n"/>
      <c r="L29" s="48" t="n"/>
    </row>
    <row r="30" ht="15" customHeight="1" s="30">
      <c r="A30" s="48" t="n"/>
      <c r="B30" s="48" t="n"/>
      <c r="C30" s="53" t="n"/>
      <c r="D30" s="48" t="n"/>
      <c r="E30" s="51" t="n"/>
      <c r="F30" s="48" t="n"/>
      <c r="G30" s="48" t="n"/>
      <c r="H30" s="48" t="n"/>
      <c r="I30" s="49" t="n"/>
      <c r="J30" s="49" t="n"/>
      <c r="K30" s="48" t="n"/>
      <c r="L30" s="48" t="n"/>
    </row>
    <row r="31" ht="15" customHeight="1" s="30">
      <c r="A31" s="48" t="n"/>
      <c r="B31" s="48" t="n"/>
      <c r="C31" s="53" t="n"/>
      <c r="D31" s="48" t="n"/>
      <c r="E31" s="51" t="n"/>
      <c r="F31" s="48" t="n"/>
      <c r="G31" s="48" t="n"/>
      <c r="H31" s="48" t="n"/>
      <c r="I31" s="49" t="n"/>
      <c r="J31" s="49" t="n"/>
      <c r="K31" s="48" t="n"/>
      <c r="L31" s="48" t="n"/>
    </row>
    <row r="32" ht="15" customHeight="1" s="30">
      <c r="A32" s="48" t="n"/>
      <c r="B32" s="48" t="n"/>
      <c r="C32" s="53" t="n"/>
      <c r="D32" s="48" t="n"/>
      <c r="E32" s="51" t="n"/>
      <c r="F32" s="48" t="n"/>
      <c r="G32" s="48" t="n"/>
      <c r="H32" s="48" t="n"/>
      <c r="I32" s="49" t="n"/>
      <c r="J32" s="49" t="n"/>
      <c r="K32" s="48" t="n"/>
      <c r="L32" s="48" t="n"/>
    </row>
    <row r="33" ht="15" customHeight="1" s="30">
      <c r="A33" s="48" t="n"/>
      <c r="B33" s="48" t="n"/>
      <c r="C33" s="53" t="n"/>
      <c r="D33" s="48" t="n"/>
      <c r="E33" s="51" t="n"/>
      <c r="F33" s="48" t="n"/>
      <c r="G33" s="48" t="n"/>
      <c r="H33" s="48" t="n"/>
      <c r="I33" s="49" t="n"/>
      <c r="J33" s="49" t="n"/>
      <c r="K33" s="48" t="n"/>
      <c r="L33" s="48" t="n"/>
    </row>
    <row r="34" ht="15" customHeight="1" s="30">
      <c r="A34" s="48" t="n"/>
      <c r="B34" s="48" t="n"/>
      <c r="C34" s="53" t="n"/>
      <c r="D34" s="48" t="n"/>
      <c r="E34" s="51" t="n"/>
      <c r="F34" s="48" t="n"/>
      <c r="G34" s="48" t="n"/>
      <c r="H34" s="48" t="n"/>
      <c r="I34" s="49" t="n"/>
      <c r="J34" s="49" t="n"/>
      <c r="K34" s="48" t="n"/>
      <c r="L34" s="48" t="n"/>
    </row>
    <row r="35" ht="15" customHeight="1" s="30">
      <c r="A35" s="48" t="n"/>
      <c r="B35" s="48" t="n"/>
      <c r="C35" s="53" t="n"/>
      <c r="D35" s="48" t="n"/>
      <c r="E35" s="51" t="n"/>
      <c r="F35" s="48" t="n"/>
      <c r="G35" s="48" t="n"/>
      <c r="H35" s="48" t="n"/>
      <c r="I35" s="49" t="n"/>
      <c r="J35" s="49" t="n"/>
      <c r="K35" s="48" t="n"/>
      <c r="L35" s="48" t="n"/>
    </row>
    <row r="36" ht="15" customHeight="1" s="30">
      <c r="A36" s="48" t="n"/>
      <c r="B36" s="48" t="n"/>
      <c r="C36" s="53" t="n"/>
      <c r="D36" s="48" t="n"/>
      <c r="E36" s="51" t="n"/>
      <c r="F36" s="48" t="n"/>
      <c r="G36" s="48" t="n"/>
      <c r="H36" s="48" t="n"/>
      <c r="I36" s="49" t="n"/>
      <c r="J36" s="49" t="n"/>
      <c r="K36" s="48" t="n"/>
      <c r="L36" s="48" t="n"/>
    </row>
    <row r="37" ht="15" customHeight="1" s="30">
      <c r="A37" s="48" t="n"/>
      <c r="B37" s="48" t="n"/>
      <c r="C37" s="53" t="n"/>
      <c r="D37" s="48" t="n"/>
      <c r="E37" s="51" t="n"/>
      <c r="F37" s="48" t="n"/>
      <c r="G37" s="48" t="n"/>
      <c r="H37" s="48" t="n"/>
      <c r="I37" s="49" t="n"/>
      <c r="J37" s="49" t="n"/>
      <c r="K37" s="48" t="n"/>
      <c r="L37" s="48" t="n"/>
    </row>
    <row r="38" ht="15" customHeight="1" s="30">
      <c r="A38" s="48" t="n"/>
      <c r="B38" s="48" t="n"/>
      <c r="C38" s="53" t="n"/>
      <c r="D38" s="48" t="n"/>
      <c r="E38" s="51" t="n"/>
      <c r="F38" s="48" t="n"/>
      <c r="G38" s="48" t="n"/>
      <c r="H38" s="48" t="n"/>
      <c r="I38" s="49" t="n"/>
      <c r="J38" s="49" t="n"/>
      <c r="K38" s="48" t="n"/>
      <c r="L38" s="48" t="n"/>
    </row>
    <row r="39" ht="15" customHeight="1" s="30">
      <c r="A39" s="48" t="n"/>
      <c r="B39" s="48" t="n"/>
      <c r="C39" s="53" t="n"/>
      <c r="D39" s="48" t="n"/>
      <c r="E39" s="51" t="n"/>
      <c r="F39" s="48" t="n"/>
      <c r="G39" s="48" t="n"/>
      <c r="H39" s="48" t="n"/>
      <c r="I39" s="49" t="n"/>
      <c r="J39" s="49" t="n"/>
      <c r="K39" s="48" t="n"/>
      <c r="L39" s="48" t="n"/>
    </row>
    <row r="40" ht="15" customHeight="1" s="30">
      <c r="A40" s="48" t="n"/>
      <c r="B40" s="48" t="n"/>
      <c r="C40" s="53" t="n"/>
      <c r="D40" s="48" t="n"/>
      <c r="E40" s="51" t="n"/>
      <c r="F40" s="48" t="n"/>
      <c r="G40" s="48" t="n"/>
      <c r="H40" s="48" t="n"/>
      <c r="I40" s="49" t="n"/>
      <c r="J40" s="49" t="n"/>
      <c r="K40" s="48" t="n"/>
      <c r="L40" s="48" t="n"/>
    </row>
    <row r="41" ht="15" customHeight="1" s="30">
      <c r="A41" s="48" t="n"/>
      <c r="B41" s="48" t="n"/>
      <c r="C41" s="53" t="n"/>
      <c r="D41" s="48" t="n"/>
      <c r="E41" s="51" t="n"/>
      <c r="F41" s="48" t="n"/>
      <c r="G41" s="48" t="n"/>
      <c r="H41" s="48" t="n"/>
      <c r="I41" s="49" t="n"/>
      <c r="J41" s="49" t="n"/>
      <c r="K41" s="48" t="n"/>
      <c r="L41" s="48" t="n"/>
    </row>
    <row r="42" ht="15" customHeight="1" s="30">
      <c r="A42" s="48" t="n"/>
      <c r="B42" s="48" t="n"/>
      <c r="C42" s="53" t="n"/>
      <c r="D42" s="48" t="n"/>
      <c r="E42" s="51" t="n"/>
      <c r="F42" s="48" t="n"/>
      <c r="G42" s="48" t="n"/>
      <c r="H42" s="48" t="n"/>
      <c r="I42" s="49" t="n"/>
      <c r="J42" s="49" t="n"/>
      <c r="K42" s="48" t="n"/>
      <c r="L42" s="48" t="n"/>
    </row>
    <row r="43" ht="15" customHeight="1" s="30">
      <c r="A43" s="48" t="n"/>
      <c r="B43" s="48" t="n"/>
      <c r="C43" s="53" t="n"/>
      <c r="D43" s="48" t="n"/>
      <c r="E43" s="51" t="n"/>
      <c r="F43" s="48" t="n"/>
      <c r="G43" s="48" t="n"/>
      <c r="H43" s="48" t="n"/>
      <c r="I43" s="49" t="n"/>
      <c r="J43" s="49" t="n"/>
      <c r="K43" s="48" t="n"/>
      <c r="L43" s="48" t="n"/>
    </row>
    <row r="44" ht="15" customHeight="1" s="30">
      <c r="A44" s="48" t="n"/>
      <c r="B44" s="48" t="n"/>
      <c r="C44" s="53" t="n"/>
      <c r="D44" s="48" t="n"/>
      <c r="E44" s="51" t="n"/>
      <c r="F44" s="48" t="n"/>
      <c r="G44" s="48" t="n"/>
      <c r="H44" s="48" t="n"/>
      <c r="I44" s="49" t="n"/>
      <c r="J44" s="49" t="n"/>
      <c r="K44" s="48" t="n"/>
      <c r="L44" s="48" t="n"/>
    </row>
    <row r="45" ht="15" customHeight="1" s="30">
      <c r="A45" s="48" t="n"/>
      <c r="B45" s="48" t="n"/>
      <c r="C45" s="53" t="n"/>
      <c r="D45" s="48" t="n"/>
      <c r="E45" s="51" t="n"/>
      <c r="F45" s="48" t="n"/>
      <c r="G45" s="48" t="n"/>
      <c r="H45" s="48" t="n"/>
      <c r="I45" s="49" t="n"/>
      <c r="J45" s="49" t="n"/>
      <c r="K45" s="48" t="n"/>
      <c r="L45" s="48" t="n"/>
    </row>
    <row r="46" ht="15" customHeight="1" s="30">
      <c r="A46" s="48" t="n"/>
      <c r="B46" s="48" t="n"/>
      <c r="C46" s="53" t="n"/>
      <c r="D46" s="48" t="n"/>
      <c r="E46" s="51" t="n"/>
      <c r="F46" s="48" t="n"/>
      <c r="G46" s="48" t="n"/>
      <c r="H46" s="48" t="n"/>
      <c r="I46" s="49" t="n"/>
      <c r="J46" s="49" t="n"/>
      <c r="K46" s="48" t="n"/>
      <c r="L46" s="48" t="n"/>
    </row>
    <row r="47" ht="15" customHeight="1" s="30">
      <c r="A47" s="48" t="n"/>
      <c r="B47" s="48" t="n"/>
      <c r="C47" s="53" t="n"/>
      <c r="D47" s="48" t="n"/>
      <c r="E47" s="51" t="n"/>
      <c r="F47" s="48" t="n"/>
      <c r="G47" s="48" t="n"/>
      <c r="H47" s="48" t="n"/>
      <c r="I47" s="49" t="n"/>
      <c r="J47" s="49" t="n"/>
      <c r="K47" s="48" t="n"/>
      <c r="L47" s="48" t="n"/>
    </row>
    <row r="48" ht="15" customHeight="1" s="30">
      <c r="A48" s="48" t="n"/>
      <c r="B48" s="48" t="n"/>
      <c r="C48" s="53" t="n"/>
      <c r="D48" s="48" t="n"/>
      <c r="E48" s="51" t="n"/>
      <c r="F48" s="48" t="n"/>
      <c r="G48" s="48" t="n"/>
      <c r="H48" s="48" t="n"/>
      <c r="I48" s="49" t="n"/>
      <c r="J48" s="49" t="n"/>
      <c r="K48" s="48" t="n"/>
      <c r="L48" s="48" t="n"/>
    </row>
    <row r="49" ht="15" customHeight="1" s="30">
      <c r="A49" s="48" t="n"/>
      <c r="B49" s="48" t="n"/>
      <c r="C49" s="53" t="n"/>
      <c r="D49" s="48" t="n"/>
      <c r="E49" s="51" t="n"/>
      <c r="F49" s="48" t="n"/>
      <c r="G49" s="48" t="n"/>
      <c r="H49" s="48" t="n"/>
      <c r="I49" s="49" t="n"/>
      <c r="J49" s="49" t="n"/>
      <c r="K49" s="48" t="n"/>
      <c r="L49" s="48" t="n"/>
    </row>
    <row r="50" ht="15" customHeight="1" s="30">
      <c r="A50" s="48" t="n"/>
      <c r="B50" s="48" t="n"/>
      <c r="C50" s="53" t="n"/>
      <c r="D50" s="48" t="n"/>
      <c r="E50" s="51" t="n"/>
      <c r="F50" s="48" t="n"/>
      <c r="G50" s="48" t="n"/>
      <c r="H50" s="48" t="n"/>
      <c r="I50" s="49" t="n"/>
      <c r="J50" s="49" t="n"/>
      <c r="K50" s="48" t="n"/>
      <c r="L50" s="48" t="n"/>
    </row>
    <row r="51" ht="15" customHeight="1" s="30">
      <c r="A51" s="48" t="n"/>
      <c r="B51" s="48" t="n"/>
      <c r="C51" s="53" t="n"/>
      <c r="D51" s="48" t="n"/>
      <c r="E51" s="51" t="n"/>
      <c r="F51" s="48" t="n"/>
      <c r="G51" s="48" t="n"/>
      <c r="H51" s="48" t="n"/>
      <c r="I51" s="49" t="n"/>
      <c r="J51" s="49" t="n"/>
      <c r="K51" s="48" t="n"/>
      <c r="L51" s="48" t="n"/>
    </row>
    <row r="52" ht="15" customHeight="1" s="30">
      <c r="A52" s="48" t="n"/>
      <c r="B52" s="48" t="n"/>
      <c r="C52" s="53" t="n"/>
      <c r="D52" s="48" t="n"/>
      <c r="E52" s="51" t="n"/>
      <c r="F52" s="48" t="n"/>
      <c r="G52" s="48" t="n"/>
      <c r="H52" s="48" t="n"/>
      <c r="I52" s="49" t="n"/>
      <c r="J52" s="49" t="n"/>
      <c r="K52" s="48" t="n"/>
      <c r="L52" s="48" t="n"/>
    </row>
    <row r="53" ht="15" customHeight="1" s="30">
      <c r="A53" s="48" t="n"/>
      <c r="B53" s="48" t="n"/>
      <c r="C53" s="53" t="n"/>
      <c r="D53" s="48" t="n"/>
      <c r="E53" s="51" t="n"/>
      <c r="F53" s="48" t="n"/>
      <c r="G53" s="48" t="n"/>
      <c r="H53" s="48" t="n"/>
      <c r="I53" s="49" t="n"/>
      <c r="J53" s="49" t="n"/>
      <c r="K53" s="48" t="n"/>
      <c r="L53" s="48" t="n"/>
    </row>
    <row r="54" ht="15" customHeight="1" s="30">
      <c r="A54" s="48" t="n"/>
      <c r="B54" s="48" t="n"/>
      <c r="C54" s="53" t="n"/>
      <c r="D54" s="48" t="n"/>
      <c r="E54" s="51" t="n"/>
      <c r="F54" s="48" t="n"/>
      <c r="G54" s="48" t="n"/>
      <c r="H54" s="48" t="n"/>
      <c r="I54" s="49" t="n"/>
      <c r="J54" s="49" t="n"/>
      <c r="K54" s="48" t="n"/>
      <c r="L54" s="48" t="n"/>
    </row>
    <row r="55" ht="15" customHeight="1" s="30">
      <c r="A55" s="48" t="n"/>
      <c r="B55" s="48" t="n"/>
      <c r="C55" s="53" t="n"/>
      <c r="D55" s="48" t="n"/>
      <c r="E55" s="51" t="n"/>
      <c r="F55" s="48" t="n"/>
      <c r="G55" s="48" t="n"/>
      <c r="H55" s="48" t="n"/>
      <c r="I55" s="49" t="n"/>
      <c r="J55" s="49" t="n"/>
      <c r="K55" s="48" t="n"/>
      <c r="L55" s="48" t="n"/>
    </row>
    <row r="56" ht="15" customHeight="1" s="30">
      <c r="A56" s="48" t="n"/>
      <c r="B56" s="48" t="n"/>
      <c r="C56" s="53" t="n"/>
      <c r="D56" s="48" t="n"/>
      <c r="E56" s="51" t="n"/>
      <c r="F56" s="48" t="n"/>
      <c r="G56" s="48" t="n"/>
      <c r="H56" s="48" t="n"/>
      <c r="I56" s="49" t="n"/>
      <c r="J56" s="49" t="n"/>
      <c r="K56" s="48" t="n"/>
      <c r="L56" s="48" t="n"/>
    </row>
    <row r="57" ht="15" customHeight="1" s="30">
      <c r="A57" s="48" t="n"/>
      <c r="B57" s="48" t="n"/>
      <c r="C57" s="53" t="n"/>
      <c r="D57" s="48" t="n"/>
      <c r="E57" s="51" t="n"/>
      <c r="F57" s="48" t="n"/>
      <c r="G57" s="48" t="n"/>
      <c r="H57" s="48" t="n"/>
      <c r="I57" s="49" t="n"/>
      <c r="J57" s="49" t="n"/>
      <c r="K57" s="48" t="n"/>
      <c r="L57" s="48" t="n"/>
    </row>
    <row r="58" ht="15" customHeight="1" s="30">
      <c r="A58" s="48" t="n"/>
      <c r="B58" s="48" t="n"/>
      <c r="C58" s="53" t="n"/>
      <c r="D58" s="48" t="n"/>
      <c r="E58" s="51" t="n"/>
      <c r="F58" s="48" t="n"/>
      <c r="G58" s="48" t="n"/>
      <c r="H58" s="48" t="n"/>
      <c r="I58" s="49" t="n"/>
      <c r="J58" s="49" t="n"/>
      <c r="K58" s="48" t="n"/>
      <c r="L58" s="48" t="n"/>
    </row>
    <row r="59" ht="15" customHeight="1" s="30">
      <c r="A59" s="48" t="n"/>
      <c r="B59" s="48" t="n"/>
      <c r="C59" s="53" t="n"/>
      <c r="D59" s="48" t="n"/>
      <c r="E59" s="51" t="n"/>
      <c r="F59" s="48" t="n"/>
      <c r="G59" s="48" t="n"/>
      <c r="H59" s="48" t="n"/>
      <c r="I59" s="49" t="n"/>
      <c r="J59" s="49" t="n"/>
      <c r="K59" s="48" t="n"/>
      <c r="L59" s="48" t="n"/>
    </row>
    <row r="60" ht="15" customHeight="1" s="30">
      <c r="A60" s="48" t="n"/>
      <c r="B60" s="48" t="n"/>
      <c r="C60" s="53" t="n"/>
      <c r="D60" s="48" t="n"/>
      <c r="E60" s="51" t="n"/>
      <c r="F60" s="48" t="n"/>
      <c r="G60" s="48" t="n"/>
      <c r="H60" s="48" t="n"/>
      <c r="I60" s="49" t="n"/>
      <c r="J60" s="49" t="n"/>
      <c r="K60" s="48" t="n"/>
      <c r="L60" s="48" t="n"/>
    </row>
    <row r="61" ht="15" customHeight="1" s="30">
      <c r="A61" s="48" t="n"/>
      <c r="B61" s="48" t="n"/>
      <c r="C61" s="53" t="n"/>
      <c r="D61" s="48" t="n"/>
      <c r="E61" s="51" t="n"/>
      <c r="F61" s="48" t="n"/>
      <c r="G61" s="48" t="n"/>
      <c r="H61" s="48" t="n"/>
      <c r="I61" s="49" t="n"/>
      <c r="J61" s="49" t="n"/>
      <c r="K61" s="48" t="n"/>
      <c r="L61" s="48" t="n"/>
    </row>
    <row r="62" ht="15" customHeight="1" s="30">
      <c r="A62" s="48" t="n"/>
      <c r="B62" s="48" t="n"/>
      <c r="C62" s="53" t="n"/>
      <c r="D62" s="48" t="n"/>
      <c r="E62" s="51" t="n"/>
      <c r="F62" s="48" t="n"/>
      <c r="G62" s="48" t="n"/>
      <c r="H62" s="48" t="n"/>
      <c r="I62" s="49" t="n"/>
      <c r="J62" s="49" t="n"/>
      <c r="K62" s="48" t="n"/>
      <c r="L62" s="48" t="n"/>
    </row>
    <row r="63" ht="15" customHeight="1" s="30">
      <c r="A63" s="48" t="n"/>
      <c r="B63" s="48" t="n"/>
      <c r="C63" s="53" t="n"/>
      <c r="D63" s="48" t="n"/>
      <c r="E63" s="51" t="n"/>
      <c r="F63" s="48" t="n"/>
      <c r="G63" s="48" t="n"/>
      <c r="H63" s="48" t="n"/>
      <c r="I63" s="49" t="n"/>
      <c r="J63" s="49" t="n"/>
      <c r="K63" s="48" t="n"/>
      <c r="L63" s="48" t="n"/>
    </row>
    <row r="64" ht="15" customHeight="1" s="30">
      <c r="A64" s="48" t="n"/>
      <c r="B64" s="48" t="n"/>
      <c r="C64" s="53" t="n"/>
      <c r="D64" s="48" t="n"/>
      <c r="E64" s="51" t="n"/>
      <c r="F64" s="48" t="n"/>
      <c r="G64" s="48" t="n"/>
      <c r="H64" s="48" t="n"/>
      <c r="I64" s="49" t="n"/>
      <c r="J64" s="49" t="n"/>
      <c r="K64" s="48" t="n"/>
      <c r="L64" s="48" t="n"/>
    </row>
  </sheetData>
  <autoFilter ref="A4:L64"/>
  <dataValidations count="4">
    <dataValidation sqref="F5:F64" showDropDown="0" showInputMessage="0" showErrorMessage="0" allowBlank="1" type="list" errorStyle="stop" operator="between">
      <formula1>"Comisión terminal,IVA comisión,Comisión banca internet,Compra con tarjeta,Depósito no identificado,Redondeo,Transferencia entre cuentas,Reembolso a socio"</formula1>
      <formula2>0</formula2>
    </dataValidation>
    <dataValidation sqref="G5:G64" showDropDown="0" showInputMessage="0" showErrorMessage="0" allowBlank="1" type="list" errorStyle="stop" operator="between">
      <formula1>"Sí,No"</formula1>
      <formula2>0</formula2>
    </dataValidation>
    <dataValidation sqref="I5:I64" showDropDown="0" showInputMessage="0" showErrorMessage="0" allowBlank="1" type="list" errorStyle="stop" operator="between">
      <formula1>"Sí,No,Modificar"</formula1>
      <formula2>0</formula2>
    </dataValidation>
    <dataValidation sqref="K5:K64" showDropDown="0" showInputMessage="0" showErrorMessage="0" allowBlank="1" type="list" errorStyle="stop" operator="between">
      <formula1>"Pendiente,Aplicado,Error,Revalidar"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tabColor rgb="FF452E27"/>
    <outlinePr summaryBelow="1" summaryRight="1"/>
    <pageSetUpPr fitToPage="0"/>
  </sheetPr>
  <dimension ref="A1:P6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9" min="1" max="1"/>
    <col width="11" customWidth="1" style="29" min="2" max="2"/>
    <col width="10" customWidth="1" style="29" min="3" max="3"/>
    <col width="14" customWidth="1" style="29" min="4" max="4"/>
    <col width="12" customWidth="1" style="29" min="5" max="5"/>
    <col width="16" customWidth="1" style="29" min="6" max="6"/>
    <col width="26" customWidth="1" style="29" min="7" max="7"/>
    <col width="12" customWidth="1" style="29" min="8" max="8"/>
    <col width="11" customWidth="1" style="29" min="9" max="9"/>
    <col width="12" customWidth="1" style="29" min="10" max="10"/>
    <col width="13" customWidth="1" style="29" min="11" max="11"/>
    <col width="26" customWidth="1" style="29" min="12" max="12"/>
    <col width="13" customWidth="1" style="29" min="13" max="13"/>
    <col width="11" customWidth="1" style="29" min="14" max="15"/>
    <col width="12" customWidth="1" style="29" min="16" max="16"/>
  </cols>
  <sheetData>
    <row r="1" ht="19.7" customHeight="1" s="30">
      <c r="A1" s="31" t="inlineStr">
        <is>
          <t>Pagos al SAT contra acuses</t>
        </is>
      </c>
    </row>
    <row r="2" ht="15" customHeight="1" s="30">
      <c r="A2" s="32" t="inlineStr">
        <is>
          <t>Un renglón por concepto pagado. El total por movimiento debe coincidir con el cargo del banco.</t>
        </is>
      </c>
    </row>
    <row r="4" ht="33.75" customHeight="1" s="30">
      <c r="A4" s="44" t="inlineStr">
        <is>
          <t>ID mov.</t>
        </is>
      </c>
      <c r="B4" s="44" t="inlineStr">
        <is>
          <t>Fecha pago</t>
        </is>
      </c>
      <c r="C4" s="44" t="inlineStr">
        <is>
          <t>Periodo</t>
        </is>
      </c>
      <c r="D4" s="44" t="inlineStr">
        <is>
          <t>Tipo declaración</t>
        </is>
      </c>
      <c r="E4" s="44" t="inlineStr">
        <is>
          <t>Fecha presentación</t>
        </is>
      </c>
      <c r="F4" s="44" t="inlineStr">
        <is>
          <t>Número de operación</t>
        </is>
      </c>
      <c r="G4" s="44" t="inlineStr">
        <is>
          <t>Concepto</t>
        </is>
      </c>
      <c r="H4" s="44" t="inlineStr">
        <is>
          <t>Impuesto</t>
        </is>
      </c>
      <c r="I4" s="44" t="inlineStr">
        <is>
          <t>Recargos</t>
        </is>
      </c>
      <c r="J4" s="44" t="inlineStr">
        <is>
          <t>Actualización</t>
        </is>
      </c>
      <c r="K4" s="44" t="inlineStr">
        <is>
          <t>Total concepto</t>
        </is>
      </c>
      <c r="L4" s="44" t="inlineStr">
        <is>
          <t>Cuenta del impuesto</t>
        </is>
      </c>
      <c r="M4" s="44" t="inlineStr">
        <is>
          <t>Saldo en Odoo</t>
        </is>
      </c>
      <c r="N4" s="44" t="inlineStr">
        <is>
          <t>Redondeo</t>
        </is>
      </c>
      <c r="O4" s="45" t="inlineStr">
        <is>
          <t>Aprobado</t>
        </is>
      </c>
      <c r="P4" s="44" t="inlineStr">
        <is>
          <t>Estado</t>
        </is>
      </c>
    </row>
    <row r="5" ht="23.85" customHeight="1" s="30">
      <c r="A5" s="46" t="inlineStr">
        <is>
          <t>M012</t>
        </is>
      </c>
      <c r="B5" s="50" t="n">
        <v>46211</v>
      </c>
      <c r="C5" s="46" t="inlineStr">
        <is>
          <t>2026-05</t>
        </is>
      </c>
      <c r="D5" s="46" t="inlineStr">
        <is>
          <t>Normal</t>
        </is>
      </c>
      <c r="E5" s="50" t="n">
        <v>46199</v>
      </c>
      <c r="F5" s="46" t="inlineStr">
        <is>
          <t>000000000001</t>
        </is>
      </c>
      <c r="G5" s="46" t="inlineStr">
        <is>
          <t>ISR retenido servicios profesionales</t>
        </is>
      </c>
      <c r="H5" s="52" t="n">
        <v>2202</v>
      </c>
      <c r="I5" s="52" t="n">
        <v>32</v>
      </c>
      <c r="J5" s="52" t="n">
        <v>0</v>
      </c>
      <c r="K5" s="51">
        <f>SUM(H5:J5)</f>
        <v/>
      </c>
      <c r="L5" s="46" t="inlineStr">
        <is>
          <t>216.04.01</t>
        </is>
      </c>
      <c r="M5" s="52" t="n">
        <v>2202.27</v>
      </c>
      <c r="N5" s="51">
        <f>IF(M5="","",ROUND(H5-M5,2))</f>
        <v/>
      </c>
      <c r="O5" s="47" t="inlineStr">
        <is>
          <t>Sí</t>
        </is>
      </c>
      <c r="P5" s="46" t="inlineStr">
        <is>
          <t>Aplicado</t>
        </is>
      </c>
    </row>
    <row r="6" ht="15" customHeight="1" s="30">
      <c r="A6" s="48" t="n"/>
      <c r="B6" s="53" t="n"/>
      <c r="C6" s="48" t="n"/>
      <c r="D6" s="48" t="n"/>
      <c r="E6" s="53" t="n"/>
      <c r="F6" s="48" t="n"/>
      <c r="G6" s="48" t="n"/>
      <c r="H6" s="51" t="n"/>
      <c r="I6" s="51" t="n"/>
      <c r="J6" s="51" t="n"/>
      <c r="K6" s="51">
        <f>IF(COUNT(H6:J6)=0,"",SUM(H6:J6))</f>
        <v/>
      </c>
      <c r="L6" s="48" t="n"/>
      <c r="M6" s="51" t="n"/>
      <c r="N6" s="51">
        <f>IF(OR(M6="",H6=""),"",ROUND(H6-M6,2))</f>
        <v/>
      </c>
      <c r="O6" s="49" t="n"/>
      <c r="P6" s="48" t="n"/>
    </row>
    <row r="7" ht="15" customHeight="1" s="30">
      <c r="A7" s="48" t="n"/>
      <c r="B7" s="53" t="n"/>
      <c r="C7" s="48" t="n"/>
      <c r="D7" s="48" t="n"/>
      <c r="E7" s="53" t="n"/>
      <c r="F7" s="48" t="n"/>
      <c r="G7" s="48" t="n"/>
      <c r="H7" s="51" t="n"/>
      <c r="I7" s="51" t="n"/>
      <c r="J7" s="51" t="n"/>
      <c r="K7" s="51">
        <f>IF(COUNT(H7:J7)=0,"",SUM(H7:J7))</f>
        <v/>
      </c>
      <c r="L7" s="48" t="n"/>
      <c r="M7" s="51" t="n"/>
      <c r="N7" s="51">
        <f>IF(OR(M7="",H7=""),"",ROUND(H7-M7,2))</f>
        <v/>
      </c>
      <c r="O7" s="49" t="n"/>
      <c r="P7" s="48" t="n"/>
    </row>
    <row r="8" ht="15" customHeight="1" s="30">
      <c r="A8" s="48" t="n"/>
      <c r="B8" s="53" t="n"/>
      <c r="C8" s="48" t="n"/>
      <c r="D8" s="48" t="n"/>
      <c r="E8" s="53" t="n"/>
      <c r="F8" s="48" t="n"/>
      <c r="G8" s="48" t="n"/>
      <c r="H8" s="51" t="n"/>
      <c r="I8" s="51" t="n"/>
      <c r="J8" s="51" t="n"/>
      <c r="K8" s="51">
        <f>IF(COUNT(H8:J8)=0,"",SUM(H8:J8))</f>
        <v/>
      </c>
      <c r="L8" s="48" t="n"/>
      <c r="M8" s="51" t="n"/>
      <c r="N8" s="51">
        <f>IF(OR(M8="",H8=""),"",ROUND(H8-M8,2))</f>
        <v/>
      </c>
      <c r="O8" s="49" t="n"/>
      <c r="P8" s="48" t="n"/>
    </row>
    <row r="9" ht="15" customHeight="1" s="30">
      <c r="A9" s="48" t="n"/>
      <c r="B9" s="53" t="n"/>
      <c r="C9" s="48" t="n"/>
      <c r="D9" s="48" t="n"/>
      <c r="E9" s="53" t="n"/>
      <c r="F9" s="48" t="n"/>
      <c r="G9" s="48" t="n"/>
      <c r="H9" s="51" t="n"/>
      <c r="I9" s="51" t="n"/>
      <c r="J9" s="51" t="n"/>
      <c r="K9" s="51">
        <f>IF(COUNT(H9:J9)=0,"",SUM(H9:J9))</f>
        <v/>
      </c>
      <c r="L9" s="48" t="n"/>
      <c r="M9" s="51" t="n"/>
      <c r="N9" s="51">
        <f>IF(OR(M9="",H9=""),"",ROUND(H9-M9,2))</f>
        <v/>
      </c>
      <c r="O9" s="49" t="n"/>
      <c r="P9" s="48" t="n"/>
    </row>
    <row r="10" ht="15" customHeight="1" s="30">
      <c r="A10" s="48" t="n"/>
      <c r="B10" s="53" t="n"/>
      <c r="C10" s="48" t="n"/>
      <c r="D10" s="48" t="n"/>
      <c r="E10" s="53" t="n"/>
      <c r="F10" s="48" t="n"/>
      <c r="G10" s="48" t="n"/>
      <c r="H10" s="51" t="n"/>
      <c r="I10" s="51" t="n"/>
      <c r="J10" s="51" t="n"/>
      <c r="K10" s="51">
        <f>IF(COUNT(H10:J10)=0,"",SUM(H10:J10))</f>
        <v/>
      </c>
      <c r="L10" s="48" t="n"/>
      <c r="M10" s="51" t="n"/>
      <c r="N10" s="51">
        <f>IF(OR(M10="",H10=""),"",ROUND(H10-M10,2))</f>
        <v/>
      </c>
      <c r="O10" s="49" t="n"/>
      <c r="P10" s="48" t="n"/>
    </row>
    <row r="11" ht="15" customHeight="1" s="30">
      <c r="A11" s="48" t="n"/>
      <c r="B11" s="53" t="n"/>
      <c r="C11" s="48" t="n"/>
      <c r="D11" s="48" t="n"/>
      <c r="E11" s="53" t="n"/>
      <c r="F11" s="48" t="n"/>
      <c r="G11" s="48" t="n"/>
      <c r="H11" s="51" t="n"/>
      <c r="I11" s="51" t="n"/>
      <c r="J11" s="51" t="n"/>
      <c r="K11" s="51">
        <f>IF(COUNT(H11:J11)=0,"",SUM(H11:J11))</f>
        <v/>
      </c>
      <c r="L11" s="48" t="n"/>
      <c r="M11" s="51" t="n"/>
      <c r="N11" s="51">
        <f>IF(OR(M11="",H11=""),"",ROUND(H11-M11,2))</f>
        <v/>
      </c>
      <c r="O11" s="49" t="n"/>
      <c r="P11" s="48" t="n"/>
    </row>
    <row r="12" ht="15" customHeight="1" s="30">
      <c r="A12" s="48" t="n"/>
      <c r="B12" s="53" t="n"/>
      <c r="C12" s="48" t="n"/>
      <c r="D12" s="48" t="n"/>
      <c r="E12" s="53" t="n"/>
      <c r="F12" s="48" t="n"/>
      <c r="G12" s="48" t="n"/>
      <c r="H12" s="51" t="n"/>
      <c r="I12" s="51" t="n"/>
      <c r="J12" s="51" t="n"/>
      <c r="K12" s="51">
        <f>IF(COUNT(H12:J12)=0,"",SUM(H12:J12))</f>
        <v/>
      </c>
      <c r="L12" s="48" t="n"/>
      <c r="M12" s="51" t="n"/>
      <c r="N12" s="51">
        <f>IF(OR(M12="",H12=""),"",ROUND(H12-M12,2))</f>
        <v/>
      </c>
      <c r="O12" s="49" t="n"/>
      <c r="P12" s="48" t="n"/>
    </row>
    <row r="13" ht="15" customHeight="1" s="30">
      <c r="A13" s="48" t="n"/>
      <c r="B13" s="53" t="n"/>
      <c r="C13" s="48" t="n"/>
      <c r="D13" s="48" t="n"/>
      <c r="E13" s="53" t="n"/>
      <c r="F13" s="48" t="n"/>
      <c r="G13" s="48" t="n"/>
      <c r="H13" s="51" t="n"/>
      <c r="I13" s="51" t="n"/>
      <c r="J13" s="51" t="n"/>
      <c r="K13" s="51">
        <f>IF(COUNT(H13:J13)=0,"",SUM(H13:J13))</f>
        <v/>
      </c>
      <c r="L13" s="48" t="n"/>
      <c r="M13" s="51" t="n"/>
      <c r="N13" s="51">
        <f>IF(OR(M13="",H13=""),"",ROUND(H13-M13,2))</f>
        <v/>
      </c>
      <c r="O13" s="49" t="n"/>
      <c r="P13" s="48" t="n"/>
    </row>
    <row r="14" ht="15" customHeight="1" s="30">
      <c r="A14" s="48" t="n"/>
      <c r="B14" s="53" t="n"/>
      <c r="C14" s="48" t="n"/>
      <c r="D14" s="48" t="n"/>
      <c r="E14" s="53" t="n"/>
      <c r="F14" s="48" t="n"/>
      <c r="G14" s="48" t="n"/>
      <c r="H14" s="51" t="n"/>
      <c r="I14" s="51" t="n"/>
      <c r="J14" s="51" t="n"/>
      <c r="K14" s="51">
        <f>IF(COUNT(H14:J14)=0,"",SUM(H14:J14))</f>
        <v/>
      </c>
      <c r="L14" s="48" t="n"/>
      <c r="M14" s="51" t="n"/>
      <c r="N14" s="51">
        <f>IF(OR(M14="",H14=""),"",ROUND(H14-M14,2))</f>
        <v/>
      </c>
      <c r="O14" s="49" t="n"/>
      <c r="P14" s="48" t="n"/>
    </row>
    <row r="15" ht="15" customHeight="1" s="30">
      <c r="A15" s="48" t="n"/>
      <c r="B15" s="53" t="n"/>
      <c r="C15" s="48" t="n"/>
      <c r="D15" s="48" t="n"/>
      <c r="E15" s="53" t="n"/>
      <c r="F15" s="48" t="n"/>
      <c r="G15" s="48" t="n"/>
      <c r="H15" s="51" t="n"/>
      <c r="I15" s="51" t="n"/>
      <c r="J15" s="51" t="n"/>
      <c r="K15" s="51">
        <f>IF(COUNT(H15:J15)=0,"",SUM(H15:J15))</f>
        <v/>
      </c>
      <c r="L15" s="48" t="n"/>
      <c r="M15" s="51" t="n"/>
      <c r="N15" s="51">
        <f>IF(OR(M15="",H15=""),"",ROUND(H15-M15,2))</f>
        <v/>
      </c>
      <c r="O15" s="49" t="n"/>
      <c r="P15" s="48" t="n"/>
    </row>
    <row r="16" ht="15" customHeight="1" s="30">
      <c r="A16" s="48" t="n"/>
      <c r="B16" s="53" t="n"/>
      <c r="C16" s="48" t="n"/>
      <c r="D16" s="48" t="n"/>
      <c r="E16" s="53" t="n"/>
      <c r="F16" s="48" t="n"/>
      <c r="G16" s="48" t="n"/>
      <c r="H16" s="51" t="n"/>
      <c r="I16" s="51" t="n"/>
      <c r="J16" s="51" t="n"/>
      <c r="K16" s="51">
        <f>IF(COUNT(H16:J16)=0,"",SUM(H16:J16))</f>
        <v/>
      </c>
      <c r="L16" s="48" t="n"/>
      <c r="M16" s="51" t="n"/>
      <c r="N16" s="51">
        <f>IF(OR(M16="",H16=""),"",ROUND(H16-M16,2))</f>
        <v/>
      </c>
      <c r="O16" s="49" t="n"/>
      <c r="P16" s="48" t="n"/>
    </row>
    <row r="17" ht="15" customHeight="1" s="30">
      <c r="A17" s="48" t="n"/>
      <c r="B17" s="53" t="n"/>
      <c r="C17" s="48" t="n"/>
      <c r="D17" s="48" t="n"/>
      <c r="E17" s="53" t="n"/>
      <c r="F17" s="48" t="n"/>
      <c r="G17" s="48" t="n"/>
      <c r="H17" s="51" t="n"/>
      <c r="I17" s="51" t="n"/>
      <c r="J17" s="51" t="n"/>
      <c r="K17" s="51">
        <f>IF(COUNT(H17:J17)=0,"",SUM(H17:J17))</f>
        <v/>
      </c>
      <c r="L17" s="48" t="n"/>
      <c r="M17" s="51" t="n"/>
      <c r="N17" s="51">
        <f>IF(OR(M17="",H17=""),"",ROUND(H17-M17,2))</f>
        <v/>
      </c>
      <c r="O17" s="49" t="n"/>
      <c r="P17" s="48" t="n"/>
    </row>
    <row r="18" ht="15" customHeight="1" s="30">
      <c r="A18" s="48" t="n"/>
      <c r="B18" s="53" t="n"/>
      <c r="C18" s="48" t="n"/>
      <c r="D18" s="48" t="n"/>
      <c r="E18" s="53" t="n"/>
      <c r="F18" s="48" t="n"/>
      <c r="G18" s="48" t="n"/>
      <c r="H18" s="51" t="n"/>
      <c r="I18" s="51" t="n"/>
      <c r="J18" s="51" t="n"/>
      <c r="K18" s="51">
        <f>IF(COUNT(H18:J18)=0,"",SUM(H18:J18))</f>
        <v/>
      </c>
      <c r="L18" s="48" t="n"/>
      <c r="M18" s="51" t="n"/>
      <c r="N18" s="51">
        <f>IF(OR(M18="",H18=""),"",ROUND(H18-M18,2))</f>
        <v/>
      </c>
      <c r="O18" s="49" t="n"/>
      <c r="P18" s="48" t="n"/>
    </row>
    <row r="19" ht="15" customHeight="1" s="30">
      <c r="A19" s="48" t="n"/>
      <c r="B19" s="53" t="n"/>
      <c r="C19" s="48" t="n"/>
      <c r="D19" s="48" t="n"/>
      <c r="E19" s="53" t="n"/>
      <c r="F19" s="48" t="n"/>
      <c r="G19" s="48" t="n"/>
      <c r="H19" s="51" t="n"/>
      <c r="I19" s="51" t="n"/>
      <c r="J19" s="51" t="n"/>
      <c r="K19" s="51">
        <f>IF(COUNT(H19:J19)=0,"",SUM(H19:J19))</f>
        <v/>
      </c>
      <c r="L19" s="48" t="n"/>
      <c r="M19" s="51" t="n"/>
      <c r="N19" s="51">
        <f>IF(OR(M19="",H19=""),"",ROUND(H19-M19,2))</f>
        <v/>
      </c>
      <c r="O19" s="49" t="n"/>
      <c r="P19" s="48" t="n"/>
    </row>
    <row r="20" ht="15" customHeight="1" s="30">
      <c r="A20" s="48" t="n"/>
      <c r="B20" s="53" t="n"/>
      <c r="C20" s="48" t="n"/>
      <c r="D20" s="48" t="n"/>
      <c r="E20" s="53" t="n"/>
      <c r="F20" s="48" t="n"/>
      <c r="G20" s="48" t="n"/>
      <c r="H20" s="51" t="n"/>
      <c r="I20" s="51" t="n"/>
      <c r="J20" s="51" t="n"/>
      <c r="K20" s="51">
        <f>IF(COUNT(H20:J20)=0,"",SUM(H20:J20))</f>
        <v/>
      </c>
      <c r="L20" s="48" t="n"/>
      <c r="M20" s="51" t="n"/>
      <c r="N20" s="51">
        <f>IF(OR(M20="",H20=""),"",ROUND(H20-M20,2))</f>
        <v/>
      </c>
      <c r="O20" s="49" t="n"/>
      <c r="P20" s="48" t="n"/>
    </row>
    <row r="21" ht="15" customHeight="1" s="30">
      <c r="A21" s="48" t="n"/>
      <c r="B21" s="53" t="n"/>
      <c r="C21" s="48" t="n"/>
      <c r="D21" s="48" t="n"/>
      <c r="E21" s="53" t="n"/>
      <c r="F21" s="48" t="n"/>
      <c r="G21" s="48" t="n"/>
      <c r="H21" s="51" t="n"/>
      <c r="I21" s="51" t="n"/>
      <c r="J21" s="51" t="n"/>
      <c r="K21" s="51">
        <f>IF(COUNT(H21:J21)=0,"",SUM(H21:J21))</f>
        <v/>
      </c>
      <c r="L21" s="48" t="n"/>
      <c r="M21" s="51" t="n"/>
      <c r="N21" s="51">
        <f>IF(OR(M21="",H21=""),"",ROUND(H21-M21,2))</f>
        <v/>
      </c>
      <c r="O21" s="49" t="n"/>
      <c r="P21" s="48" t="n"/>
    </row>
    <row r="22" ht="15" customHeight="1" s="30">
      <c r="A22" s="48" t="n"/>
      <c r="B22" s="53" t="n"/>
      <c r="C22" s="48" t="n"/>
      <c r="D22" s="48" t="n"/>
      <c r="E22" s="53" t="n"/>
      <c r="F22" s="48" t="n"/>
      <c r="G22" s="48" t="n"/>
      <c r="H22" s="51" t="n"/>
      <c r="I22" s="51" t="n"/>
      <c r="J22" s="51" t="n"/>
      <c r="K22" s="51">
        <f>IF(COUNT(H22:J22)=0,"",SUM(H22:J22))</f>
        <v/>
      </c>
      <c r="L22" s="48" t="n"/>
      <c r="M22" s="51" t="n"/>
      <c r="N22" s="51">
        <f>IF(OR(M22="",H22=""),"",ROUND(H22-M22,2))</f>
        <v/>
      </c>
      <c r="O22" s="49" t="n"/>
      <c r="P22" s="48" t="n"/>
    </row>
    <row r="23" ht="15" customHeight="1" s="30">
      <c r="A23" s="48" t="n"/>
      <c r="B23" s="53" t="n"/>
      <c r="C23" s="48" t="n"/>
      <c r="D23" s="48" t="n"/>
      <c r="E23" s="53" t="n"/>
      <c r="F23" s="48" t="n"/>
      <c r="G23" s="48" t="n"/>
      <c r="H23" s="51" t="n"/>
      <c r="I23" s="51" t="n"/>
      <c r="J23" s="51" t="n"/>
      <c r="K23" s="51">
        <f>IF(COUNT(H23:J23)=0,"",SUM(H23:J23))</f>
        <v/>
      </c>
      <c r="L23" s="48" t="n"/>
      <c r="M23" s="51" t="n"/>
      <c r="N23" s="51">
        <f>IF(OR(M23="",H23=""),"",ROUND(H23-M23,2))</f>
        <v/>
      </c>
      <c r="O23" s="49" t="n"/>
      <c r="P23" s="48" t="n"/>
    </row>
    <row r="24" ht="15" customHeight="1" s="30">
      <c r="A24" s="48" t="n"/>
      <c r="B24" s="53" t="n"/>
      <c r="C24" s="48" t="n"/>
      <c r="D24" s="48" t="n"/>
      <c r="E24" s="53" t="n"/>
      <c r="F24" s="48" t="n"/>
      <c r="G24" s="48" t="n"/>
      <c r="H24" s="51" t="n"/>
      <c r="I24" s="51" t="n"/>
      <c r="J24" s="51" t="n"/>
      <c r="K24" s="51">
        <f>IF(COUNT(H24:J24)=0,"",SUM(H24:J24))</f>
        <v/>
      </c>
      <c r="L24" s="48" t="n"/>
      <c r="M24" s="51" t="n"/>
      <c r="N24" s="51">
        <f>IF(OR(M24="",H24=""),"",ROUND(H24-M24,2))</f>
        <v/>
      </c>
      <c r="O24" s="49" t="n"/>
      <c r="P24" s="48" t="n"/>
    </row>
    <row r="25" ht="15" customHeight="1" s="30">
      <c r="A25" s="48" t="n"/>
      <c r="B25" s="53" t="n"/>
      <c r="C25" s="48" t="n"/>
      <c r="D25" s="48" t="n"/>
      <c r="E25" s="53" t="n"/>
      <c r="F25" s="48" t="n"/>
      <c r="G25" s="48" t="n"/>
      <c r="H25" s="51" t="n"/>
      <c r="I25" s="51" t="n"/>
      <c r="J25" s="51" t="n"/>
      <c r="K25" s="51">
        <f>IF(COUNT(H25:J25)=0,"",SUM(H25:J25))</f>
        <v/>
      </c>
      <c r="L25" s="48" t="n"/>
      <c r="M25" s="51" t="n"/>
      <c r="N25" s="51">
        <f>IF(OR(M25="",H25=""),"",ROUND(H25-M25,2))</f>
        <v/>
      </c>
      <c r="O25" s="49" t="n"/>
      <c r="P25" s="48" t="n"/>
    </row>
    <row r="26" ht="15" customHeight="1" s="30">
      <c r="A26" s="48" t="n"/>
      <c r="B26" s="53" t="n"/>
      <c r="C26" s="48" t="n"/>
      <c r="D26" s="48" t="n"/>
      <c r="E26" s="53" t="n"/>
      <c r="F26" s="48" t="n"/>
      <c r="G26" s="48" t="n"/>
      <c r="H26" s="51" t="n"/>
      <c r="I26" s="51" t="n"/>
      <c r="J26" s="51" t="n"/>
      <c r="K26" s="51">
        <f>IF(COUNT(H26:J26)=0,"",SUM(H26:J26))</f>
        <v/>
      </c>
      <c r="L26" s="48" t="n"/>
      <c r="M26" s="51" t="n"/>
      <c r="N26" s="51">
        <f>IF(OR(M26="",H26=""),"",ROUND(H26-M26,2))</f>
        <v/>
      </c>
      <c r="O26" s="49" t="n"/>
      <c r="P26" s="48" t="n"/>
    </row>
    <row r="27" ht="15" customHeight="1" s="30">
      <c r="A27" s="48" t="n"/>
      <c r="B27" s="53" t="n"/>
      <c r="C27" s="48" t="n"/>
      <c r="D27" s="48" t="n"/>
      <c r="E27" s="53" t="n"/>
      <c r="F27" s="48" t="n"/>
      <c r="G27" s="48" t="n"/>
      <c r="H27" s="51" t="n"/>
      <c r="I27" s="51" t="n"/>
      <c r="J27" s="51" t="n"/>
      <c r="K27" s="51">
        <f>IF(COUNT(H27:J27)=0,"",SUM(H27:J27))</f>
        <v/>
      </c>
      <c r="L27" s="48" t="n"/>
      <c r="M27" s="51" t="n"/>
      <c r="N27" s="51">
        <f>IF(OR(M27="",H27=""),"",ROUND(H27-M27,2))</f>
        <v/>
      </c>
      <c r="O27" s="49" t="n"/>
      <c r="P27" s="48" t="n"/>
    </row>
    <row r="28" ht="15" customHeight="1" s="30">
      <c r="A28" s="48" t="n"/>
      <c r="B28" s="53" t="n"/>
      <c r="C28" s="48" t="n"/>
      <c r="D28" s="48" t="n"/>
      <c r="E28" s="53" t="n"/>
      <c r="F28" s="48" t="n"/>
      <c r="G28" s="48" t="n"/>
      <c r="H28" s="51" t="n"/>
      <c r="I28" s="51" t="n"/>
      <c r="J28" s="51" t="n"/>
      <c r="K28" s="51">
        <f>IF(COUNT(H28:J28)=0,"",SUM(H28:J28))</f>
        <v/>
      </c>
      <c r="L28" s="48" t="n"/>
      <c r="M28" s="51" t="n"/>
      <c r="N28" s="51">
        <f>IF(OR(M28="",H28=""),"",ROUND(H28-M28,2))</f>
        <v/>
      </c>
      <c r="O28" s="49" t="n"/>
      <c r="P28" s="48" t="n"/>
    </row>
    <row r="29" ht="15" customHeight="1" s="30">
      <c r="A29" s="48" t="n"/>
      <c r="B29" s="53" t="n"/>
      <c r="C29" s="48" t="n"/>
      <c r="D29" s="48" t="n"/>
      <c r="E29" s="53" t="n"/>
      <c r="F29" s="48" t="n"/>
      <c r="G29" s="48" t="n"/>
      <c r="H29" s="51" t="n"/>
      <c r="I29" s="51" t="n"/>
      <c r="J29" s="51" t="n"/>
      <c r="K29" s="51">
        <f>IF(COUNT(H29:J29)=0,"",SUM(H29:J29))</f>
        <v/>
      </c>
      <c r="L29" s="48" t="n"/>
      <c r="M29" s="51" t="n"/>
      <c r="N29" s="51">
        <f>IF(OR(M29="",H29=""),"",ROUND(H29-M29,2))</f>
        <v/>
      </c>
      <c r="O29" s="49" t="n"/>
      <c r="P29" s="48" t="n"/>
    </row>
    <row r="30" ht="15" customHeight="1" s="30">
      <c r="A30" s="48" t="n"/>
      <c r="B30" s="53" t="n"/>
      <c r="C30" s="48" t="n"/>
      <c r="D30" s="48" t="n"/>
      <c r="E30" s="53" t="n"/>
      <c r="F30" s="48" t="n"/>
      <c r="G30" s="48" t="n"/>
      <c r="H30" s="51" t="n"/>
      <c r="I30" s="51" t="n"/>
      <c r="J30" s="51" t="n"/>
      <c r="K30" s="51">
        <f>IF(COUNT(H30:J30)=0,"",SUM(H30:J30))</f>
        <v/>
      </c>
      <c r="L30" s="48" t="n"/>
      <c r="M30" s="51" t="n"/>
      <c r="N30" s="51">
        <f>IF(OR(M30="",H30=""),"",ROUND(H30-M30,2))</f>
        <v/>
      </c>
      <c r="O30" s="49" t="n"/>
      <c r="P30" s="48" t="n"/>
    </row>
    <row r="31" ht="15" customHeight="1" s="30">
      <c r="A31" s="48" t="n"/>
      <c r="B31" s="53" t="n"/>
      <c r="C31" s="48" t="n"/>
      <c r="D31" s="48" t="n"/>
      <c r="E31" s="53" t="n"/>
      <c r="F31" s="48" t="n"/>
      <c r="G31" s="48" t="n"/>
      <c r="H31" s="51" t="n"/>
      <c r="I31" s="51" t="n"/>
      <c r="J31" s="51" t="n"/>
      <c r="K31" s="51">
        <f>IF(COUNT(H31:J31)=0,"",SUM(H31:J31))</f>
        <v/>
      </c>
      <c r="L31" s="48" t="n"/>
      <c r="M31" s="51" t="n"/>
      <c r="N31" s="51">
        <f>IF(OR(M31="",H31=""),"",ROUND(H31-M31,2))</f>
        <v/>
      </c>
      <c r="O31" s="49" t="n"/>
      <c r="P31" s="48" t="n"/>
    </row>
    <row r="32" ht="15" customHeight="1" s="30">
      <c r="A32" s="48" t="n"/>
      <c r="B32" s="53" t="n"/>
      <c r="C32" s="48" t="n"/>
      <c r="D32" s="48" t="n"/>
      <c r="E32" s="53" t="n"/>
      <c r="F32" s="48" t="n"/>
      <c r="G32" s="48" t="n"/>
      <c r="H32" s="51" t="n"/>
      <c r="I32" s="51" t="n"/>
      <c r="J32" s="51" t="n"/>
      <c r="K32" s="51">
        <f>IF(COUNT(H32:J32)=0,"",SUM(H32:J32))</f>
        <v/>
      </c>
      <c r="L32" s="48" t="n"/>
      <c r="M32" s="51" t="n"/>
      <c r="N32" s="51">
        <f>IF(OR(M32="",H32=""),"",ROUND(H32-M32,2))</f>
        <v/>
      </c>
      <c r="O32" s="49" t="n"/>
      <c r="P32" s="48" t="n"/>
    </row>
    <row r="33" ht="15" customHeight="1" s="30">
      <c r="A33" s="48" t="n"/>
      <c r="B33" s="53" t="n"/>
      <c r="C33" s="48" t="n"/>
      <c r="D33" s="48" t="n"/>
      <c r="E33" s="53" t="n"/>
      <c r="F33" s="48" t="n"/>
      <c r="G33" s="48" t="n"/>
      <c r="H33" s="51" t="n"/>
      <c r="I33" s="51" t="n"/>
      <c r="J33" s="51" t="n"/>
      <c r="K33" s="51">
        <f>IF(COUNT(H33:J33)=0,"",SUM(H33:J33))</f>
        <v/>
      </c>
      <c r="L33" s="48" t="n"/>
      <c r="M33" s="51" t="n"/>
      <c r="N33" s="51">
        <f>IF(OR(M33="",H33=""),"",ROUND(H33-M33,2))</f>
        <v/>
      </c>
      <c r="O33" s="49" t="n"/>
      <c r="P33" s="48" t="n"/>
    </row>
    <row r="34" ht="15" customHeight="1" s="30">
      <c r="A34" s="48" t="n"/>
      <c r="B34" s="53" t="n"/>
      <c r="C34" s="48" t="n"/>
      <c r="D34" s="48" t="n"/>
      <c r="E34" s="53" t="n"/>
      <c r="F34" s="48" t="n"/>
      <c r="G34" s="48" t="n"/>
      <c r="H34" s="51" t="n"/>
      <c r="I34" s="51" t="n"/>
      <c r="J34" s="51" t="n"/>
      <c r="K34" s="51">
        <f>IF(COUNT(H34:J34)=0,"",SUM(H34:J34))</f>
        <v/>
      </c>
      <c r="L34" s="48" t="n"/>
      <c r="M34" s="51" t="n"/>
      <c r="N34" s="51">
        <f>IF(OR(M34="",H34=""),"",ROUND(H34-M34,2))</f>
        <v/>
      </c>
      <c r="O34" s="49" t="n"/>
      <c r="P34" s="48" t="n"/>
    </row>
    <row r="35" ht="15" customHeight="1" s="30">
      <c r="A35" s="48" t="n"/>
      <c r="B35" s="53" t="n"/>
      <c r="C35" s="48" t="n"/>
      <c r="D35" s="48" t="n"/>
      <c r="E35" s="53" t="n"/>
      <c r="F35" s="48" t="n"/>
      <c r="G35" s="48" t="n"/>
      <c r="H35" s="51" t="n"/>
      <c r="I35" s="51" t="n"/>
      <c r="J35" s="51" t="n"/>
      <c r="K35" s="51">
        <f>IF(COUNT(H35:J35)=0,"",SUM(H35:J35))</f>
        <v/>
      </c>
      <c r="L35" s="48" t="n"/>
      <c r="M35" s="51" t="n"/>
      <c r="N35" s="51">
        <f>IF(OR(M35="",H35=""),"",ROUND(H35-M35,2))</f>
        <v/>
      </c>
      <c r="O35" s="49" t="n"/>
      <c r="P35" s="48" t="n"/>
    </row>
    <row r="36" ht="15" customHeight="1" s="30">
      <c r="A36" s="48" t="n"/>
      <c r="B36" s="53" t="n"/>
      <c r="C36" s="48" t="n"/>
      <c r="D36" s="48" t="n"/>
      <c r="E36" s="53" t="n"/>
      <c r="F36" s="48" t="n"/>
      <c r="G36" s="48" t="n"/>
      <c r="H36" s="51" t="n"/>
      <c r="I36" s="51" t="n"/>
      <c r="J36" s="51" t="n"/>
      <c r="K36" s="51">
        <f>IF(COUNT(H36:J36)=0,"",SUM(H36:J36))</f>
        <v/>
      </c>
      <c r="L36" s="48" t="n"/>
      <c r="M36" s="51" t="n"/>
      <c r="N36" s="51">
        <f>IF(OR(M36="",H36=""),"",ROUND(H36-M36,2))</f>
        <v/>
      </c>
      <c r="O36" s="49" t="n"/>
      <c r="P36" s="48" t="n"/>
    </row>
    <row r="37" ht="15" customHeight="1" s="30">
      <c r="A37" s="48" t="n"/>
      <c r="B37" s="53" t="n"/>
      <c r="C37" s="48" t="n"/>
      <c r="D37" s="48" t="n"/>
      <c r="E37" s="53" t="n"/>
      <c r="F37" s="48" t="n"/>
      <c r="G37" s="48" t="n"/>
      <c r="H37" s="51" t="n"/>
      <c r="I37" s="51" t="n"/>
      <c r="J37" s="51" t="n"/>
      <c r="K37" s="51">
        <f>IF(COUNT(H37:J37)=0,"",SUM(H37:J37))</f>
        <v/>
      </c>
      <c r="L37" s="48" t="n"/>
      <c r="M37" s="51" t="n"/>
      <c r="N37" s="51">
        <f>IF(OR(M37="",H37=""),"",ROUND(H37-M37,2))</f>
        <v/>
      </c>
      <c r="O37" s="49" t="n"/>
      <c r="P37" s="48" t="n"/>
    </row>
    <row r="38" ht="15" customHeight="1" s="30">
      <c r="A38" s="48" t="n"/>
      <c r="B38" s="53" t="n"/>
      <c r="C38" s="48" t="n"/>
      <c r="D38" s="48" t="n"/>
      <c r="E38" s="53" t="n"/>
      <c r="F38" s="48" t="n"/>
      <c r="G38" s="48" t="n"/>
      <c r="H38" s="51" t="n"/>
      <c r="I38" s="51" t="n"/>
      <c r="J38" s="51" t="n"/>
      <c r="K38" s="51">
        <f>IF(COUNT(H38:J38)=0,"",SUM(H38:J38))</f>
        <v/>
      </c>
      <c r="L38" s="48" t="n"/>
      <c r="M38" s="51" t="n"/>
      <c r="N38" s="51">
        <f>IF(OR(M38="",H38=""),"",ROUND(H38-M38,2))</f>
        <v/>
      </c>
      <c r="O38" s="49" t="n"/>
      <c r="P38" s="48" t="n"/>
    </row>
    <row r="39" ht="15" customHeight="1" s="30">
      <c r="A39" s="48" t="n"/>
      <c r="B39" s="53" t="n"/>
      <c r="C39" s="48" t="n"/>
      <c r="D39" s="48" t="n"/>
      <c r="E39" s="53" t="n"/>
      <c r="F39" s="48" t="n"/>
      <c r="G39" s="48" t="n"/>
      <c r="H39" s="51" t="n"/>
      <c r="I39" s="51" t="n"/>
      <c r="J39" s="51" t="n"/>
      <c r="K39" s="51">
        <f>IF(COUNT(H39:J39)=0,"",SUM(H39:J39))</f>
        <v/>
      </c>
      <c r="L39" s="48" t="n"/>
      <c r="M39" s="51" t="n"/>
      <c r="N39" s="51">
        <f>IF(OR(M39="",H39=""),"",ROUND(H39-M39,2))</f>
        <v/>
      </c>
      <c r="O39" s="49" t="n"/>
      <c r="P39" s="48" t="n"/>
    </row>
    <row r="40" ht="15" customHeight="1" s="30">
      <c r="A40" s="48" t="n"/>
      <c r="B40" s="53" t="n"/>
      <c r="C40" s="48" t="n"/>
      <c r="D40" s="48" t="n"/>
      <c r="E40" s="53" t="n"/>
      <c r="F40" s="48" t="n"/>
      <c r="G40" s="48" t="n"/>
      <c r="H40" s="51" t="n"/>
      <c r="I40" s="51" t="n"/>
      <c r="J40" s="51" t="n"/>
      <c r="K40" s="51">
        <f>IF(COUNT(H40:J40)=0,"",SUM(H40:J40))</f>
        <v/>
      </c>
      <c r="L40" s="48" t="n"/>
      <c r="M40" s="51" t="n"/>
      <c r="N40" s="51">
        <f>IF(OR(M40="",H40=""),"",ROUND(H40-M40,2))</f>
        <v/>
      </c>
      <c r="O40" s="49" t="n"/>
      <c r="P40" s="48" t="n"/>
    </row>
    <row r="41" ht="15" customHeight="1" s="30">
      <c r="A41" s="48" t="n"/>
      <c r="B41" s="53" t="n"/>
      <c r="C41" s="48" t="n"/>
      <c r="D41" s="48" t="n"/>
      <c r="E41" s="53" t="n"/>
      <c r="F41" s="48" t="n"/>
      <c r="G41" s="48" t="n"/>
      <c r="H41" s="51" t="n"/>
      <c r="I41" s="51" t="n"/>
      <c r="J41" s="51" t="n"/>
      <c r="K41" s="51">
        <f>IF(COUNT(H41:J41)=0,"",SUM(H41:J41))</f>
        <v/>
      </c>
      <c r="L41" s="48" t="n"/>
      <c r="M41" s="51" t="n"/>
      <c r="N41" s="51">
        <f>IF(OR(M41="",H41=""),"",ROUND(H41-M41,2))</f>
        <v/>
      </c>
      <c r="O41" s="49" t="n"/>
      <c r="P41" s="48" t="n"/>
    </row>
    <row r="42" ht="15" customHeight="1" s="30">
      <c r="A42" s="48" t="n"/>
      <c r="B42" s="53" t="n"/>
      <c r="C42" s="48" t="n"/>
      <c r="D42" s="48" t="n"/>
      <c r="E42" s="53" t="n"/>
      <c r="F42" s="48" t="n"/>
      <c r="G42" s="48" t="n"/>
      <c r="H42" s="51" t="n"/>
      <c r="I42" s="51" t="n"/>
      <c r="J42" s="51" t="n"/>
      <c r="K42" s="51">
        <f>IF(COUNT(H42:J42)=0,"",SUM(H42:J42))</f>
        <v/>
      </c>
      <c r="L42" s="48" t="n"/>
      <c r="M42" s="51" t="n"/>
      <c r="N42" s="51">
        <f>IF(OR(M42="",H42=""),"",ROUND(H42-M42,2))</f>
        <v/>
      </c>
      <c r="O42" s="49" t="n"/>
      <c r="P42" s="48" t="n"/>
    </row>
    <row r="43" ht="15" customHeight="1" s="30">
      <c r="A43" s="48" t="n"/>
      <c r="B43" s="53" t="n"/>
      <c r="C43" s="48" t="n"/>
      <c r="D43" s="48" t="n"/>
      <c r="E43" s="53" t="n"/>
      <c r="F43" s="48" t="n"/>
      <c r="G43" s="48" t="n"/>
      <c r="H43" s="51" t="n"/>
      <c r="I43" s="51" t="n"/>
      <c r="J43" s="51" t="n"/>
      <c r="K43" s="51">
        <f>IF(COUNT(H43:J43)=0,"",SUM(H43:J43))</f>
        <v/>
      </c>
      <c r="L43" s="48" t="n"/>
      <c r="M43" s="51" t="n"/>
      <c r="N43" s="51">
        <f>IF(OR(M43="",H43=""),"",ROUND(H43-M43,2))</f>
        <v/>
      </c>
      <c r="O43" s="49" t="n"/>
      <c r="P43" s="48" t="n"/>
    </row>
    <row r="44" ht="15" customHeight="1" s="30">
      <c r="A44" s="48" t="n"/>
      <c r="B44" s="53" t="n"/>
      <c r="C44" s="48" t="n"/>
      <c r="D44" s="48" t="n"/>
      <c r="E44" s="53" t="n"/>
      <c r="F44" s="48" t="n"/>
      <c r="G44" s="48" t="n"/>
      <c r="H44" s="51" t="n"/>
      <c r="I44" s="51" t="n"/>
      <c r="J44" s="51" t="n"/>
      <c r="K44" s="51">
        <f>IF(COUNT(H44:J44)=0,"",SUM(H44:J44))</f>
        <v/>
      </c>
      <c r="L44" s="48" t="n"/>
      <c r="M44" s="51" t="n"/>
      <c r="N44" s="51">
        <f>IF(OR(M44="",H44=""),"",ROUND(H44-M44,2))</f>
        <v/>
      </c>
      <c r="O44" s="49" t="n"/>
      <c r="P44" s="48" t="n"/>
    </row>
    <row r="45" ht="15" customHeight="1" s="30">
      <c r="A45" s="48" t="n"/>
      <c r="B45" s="53" t="n"/>
      <c r="C45" s="48" t="n"/>
      <c r="D45" s="48" t="n"/>
      <c r="E45" s="53" t="n"/>
      <c r="F45" s="48" t="n"/>
      <c r="G45" s="48" t="n"/>
      <c r="H45" s="51" t="n"/>
      <c r="I45" s="51" t="n"/>
      <c r="J45" s="51" t="n"/>
      <c r="K45" s="51">
        <f>IF(COUNT(H45:J45)=0,"",SUM(H45:J45))</f>
        <v/>
      </c>
      <c r="L45" s="48" t="n"/>
      <c r="M45" s="51" t="n"/>
      <c r="N45" s="51">
        <f>IF(OR(M45="",H45=""),"",ROUND(H45-M45,2))</f>
        <v/>
      </c>
      <c r="O45" s="49" t="n"/>
      <c r="P45" s="48" t="n"/>
    </row>
    <row r="46" ht="15" customHeight="1" s="30">
      <c r="A46" s="48" t="n"/>
      <c r="B46" s="53" t="n"/>
      <c r="C46" s="48" t="n"/>
      <c r="D46" s="48" t="n"/>
      <c r="E46" s="53" t="n"/>
      <c r="F46" s="48" t="n"/>
      <c r="G46" s="48" t="n"/>
      <c r="H46" s="51" t="n"/>
      <c r="I46" s="51" t="n"/>
      <c r="J46" s="51" t="n"/>
      <c r="K46" s="51">
        <f>IF(COUNT(H46:J46)=0,"",SUM(H46:J46))</f>
        <v/>
      </c>
      <c r="L46" s="48" t="n"/>
      <c r="M46" s="51" t="n"/>
      <c r="N46" s="51">
        <f>IF(OR(M46="",H46=""),"",ROUND(H46-M46,2))</f>
        <v/>
      </c>
      <c r="O46" s="49" t="n"/>
      <c r="P46" s="48" t="n"/>
    </row>
    <row r="47" ht="15" customHeight="1" s="30">
      <c r="A47" s="48" t="n"/>
      <c r="B47" s="53" t="n"/>
      <c r="C47" s="48" t="n"/>
      <c r="D47" s="48" t="n"/>
      <c r="E47" s="53" t="n"/>
      <c r="F47" s="48" t="n"/>
      <c r="G47" s="48" t="n"/>
      <c r="H47" s="51" t="n"/>
      <c r="I47" s="51" t="n"/>
      <c r="J47" s="51" t="n"/>
      <c r="K47" s="51">
        <f>IF(COUNT(H47:J47)=0,"",SUM(H47:J47))</f>
        <v/>
      </c>
      <c r="L47" s="48" t="n"/>
      <c r="M47" s="51" t="n"/>
      <c r="N47" s="51">
        <f>IF(OR(M47="",H47=""),"",ROUND(H47-M47,2))</f>
        <v/>
      </c>
      <c r="O47" s="49" t="n"/>
      <c r="P47" s="48" t="n"/>
    </row>
    <row r="48" ht="15" customHeight="1" s="30">
      <c r="A48" s="48" t="n"/>
      <c r="B48" s="53" t="n"/>
      <c r="C48" s="48" t="n"/>
      <c r="D48" s="48" t="n"/>
      <c r="E48" s="53" t="n"/>
      <c r="F48" s="48" t="n"/>
      <c r="G48" s="48" t="n"/>
      <c r="H48" s="51" t="n"/>
      <c r="I48" s="51" t="n"/>
      <c r="J48" s="51" t="n"/>
      <c r="K48" s="51">
        <f>IF(COUNT(H48:J48)=0,"",SUM(H48:J48))</f>
        <v/>
      </c>
      <c r="L48" s="48" t="n"/>
      <c r="M48" s="51" t="n"/>
      <c r="N48" s="51">
        <f>IF(OR(M48="",H48=""),"",ROUND(H48-M48,2))</f>
        <v/>
      </c>
      <c r="O48" s="49" t="n"/>
      <c r="P48" s="48" t="n"/>
    </row>
    <row r="49" ht="15" customHeight="1" s="30">
      <c r="A49" s="48" t="n"/>
      <c r="B49" s="53" t="n"/>
      <c r="C49" s="48" t="n"/>
      <c r="D49" s="48" t="n"/>
      <c r="E49" s="53" t="n"/>
      <c r="F49" s="48" t="n"/>
      <c r="G49" s="48" t="n"/>
      <c r="H49" s="51" t="n"/>
      <c r="I49" s="51" t="n"/>
      <c r="J49" s="51" t="n"/>
      <c r="K49" s="51">
        <f>IF(COUNT(H49:J49)=0,"",SUM(H49:J49))</f>
        <v/>
      </c>
      <c r="L49" s="48" t="n"/>
      <c r="M49" s="51" t="n"/>
      <c r="N49" s="51">
        <f>IF(OR(M49="",H49=""),"",ROUND(H49-M49,2))</f>
        <v/>
      </c>
      <c r="O49" s="49" t="n"/>
      <c r="P49" s="48" t="n"/>
    </row>
    <row r="50" ht="15" customHeight="1" s="30">
      <c r="A50" s="48" t="n"/>
      <c r="B50" s="53" t="n"/>
      <c r="C50" s="48" t="n"/>
      <c r="D50" s="48" t="n"/>
      <c r="E50" s="53" t="n"/>
      <c r="F50" s="48" t="n"/>
      <c r="G50" s="48" t="n"/>
      <c r="H50" s="51" t="n"/>
      <c r="I50" s="51" t="n"/>
      <c r="J50" s="51" t="n"/>
      <c r="K50" s="51">
        <f>IF(COUNT(H50:J50)=0,"",SUM(H50:J50))</f>
        <v/>
      </c>
      <c r="L50" s="48" t="n"/>
      <c r="M50" s="51" t="n"/>
      <c r="N50" s="51">
        <f>IF(OR(M50="",H50=""),"",ROUND(H50-M50,2))</f>
        <v/>
      </c>
      <c r="O50" s="49" t="n"/>
      <c r="P50" s="48" t="n"/>
    </row>
    <row r="51" ht="15" customHeight="1" s="30">
      <c r="A51" s="48" t="n"/>
      <c r="B51" s="53" t="n"/>
      <c r="C51" s="48" t="n"/>
      <c r="D51" s="48" t="n"/>
      <c r="E51" s="53" t="n"/>
      <c r="F51" s="48" t="n"/>
      <c r="G51" s="48" t="n"/>
      <c r="H51" s="51" t="n"/>
      <c r="I51" s="51" t="n"/>
      <c r="J51" s="51" t="n"/>
      <c r="K51" s="51">
        <f>IF(COUNT(H51:J51)=0,"",SUM(H51:J51))</f>
        <v/>
      </c>
      <c r="L51" s="48" t="n"/>
      <c r="M51" s="51" t="n"/>
      <c r="N51" s="51">
        <f>IF(OR(M51="",H51=""),"",ROUND(H51-M51,2))</f>
        <v/>
      </c>
      <c r="O51" s="49" t="n"/>
      <c r="P51" s="48" t="n"/>
    </row>
    <row r="52" ht="15" customHeight="1" s="30">
      <c r="A52" s="48" t="n"/>
      <c r="B52" s="53" t="n"/>
      <c r="C52" s="48" t="n"/>
      <c r="D52" s="48" t="n"/>
      <c r="E52" s="53" t="n"/>
      <c r="F52" s="48" t="n"/>
      <c r="G52" s="48" t="n"/>
      <c r="H52" s="51" t="n"/>
      <c r="I52" s="51" t="n"/>
      <c r="J52" s="51" t="n"/>
      <c r="K52" s="51">
        <f>IF(COUNT(H52:J52)=0,"",SUM(H52:J52))</f>
        <v/>
      </c>
      <c r="L52" s="48" t="n"/>
      <c r="M52" s="51" t="n"/>
      <c r="N52" s="51">
        <f>IF(OR(M52="",H52=""),"",ROUND(H52-M52,2))</f>
        <v/>
      </c>
      <c r="O52" s="49" t="n"/>
      <c r="P52" s="48" t="n"/>
    </row>
    <row r="53" ht="15" customHeight="1" s="30">
      <c r="A53" s="48" t="n"/>
      <c r="B53" s="53" t="n"/>
      <c r="C53" s="48" t="n"/>
      <c r="D53" s="48" t="n"/>
      <c r="E53" s="53" t="n"/>
      <c r="F53" s="48" t="n"/>
      <c r="G53" s="48" t="n"/>
      <c r="H53" s="51" t="n"/>
      <c r="I53" s="51" t="n"/>
      <c r="J53" s="51" t="n"/>
      <c r="K53" s="51">
        <f>IF(COUNT(H53:J53)=0,"",SUM(H53:J53))</f>
        <v/>
      </c>
      <c r="L53" s="48" t="n"/>
      <c r="M53" s="51" t="n"/>
      <c r="N53" s="51">
        <f>IF(OR(M53="",H53=""),"",ROUND(H53-M53,2))</f>
        <v/>
      </c>
      <c r="O53" s="49" t="n"/>
      <c r="P53" s="48" t="n"/>
    </row>
    <row r="54" ht="15" customHeight="1" s="30">
      <c r="A54" s="48" t="n"/>
      <c r="B54" s="53" t="n"/>
      <c r="C54" s="48" t="n"/>
      <c r="D54" s="48" t="n"/>
      <c r="E54" s="53" t="n"/>
      <c r="F54" s="48" t="n"/>
      <c r="G54" s="48" t="n"/>
      <c r="H54" s="51" t="n"/>
      <c r="I54" s="51" t="n"/>
      <c r="J54" s="51" t="n"/>
      <c r="K54" s="51">
        <f>IF(COUNT(H54:J54)=0,"",SUM(H54:J54))</f>
        <v/>
      </c>
      <c r="L54" s="48" t="n"/>
      <c r="M54" s="51" t="n"/>
      <c r="N54" s="51">
        <f>IF(OR(M54="",H54=""),"",ROUND(H54-M54,2))</f>
        <v/>
      </c>
      <c r="O54" s="49" t="n"/>
      <c r="P54" s="48" t="n"/>
    </row>
    <row r="55" ht="15" customHeight="1" s="30">
      <c r="A55" s="48" t="n"/>
      <c r="B55" s="53" t="n"/>
      <c r="C55" s="48" t="n"/>
      <c r="D55" s="48" t="n"/>
      <c r="E55" s="53" t="n"/>
      <c r="F55" s="48" t="n"/>
      <c r="G55" s="48" t="n"/>
      <c r="H55" s="51" t="n"/>
      <c r="I55" s="51" t="n"/>
      <c r="J55" s="51" t="n"/>
      <c r="K55" s="51">
        <f>IF(COUNT(H55:J55)=0,"",SUM(H55:J55))</f>
        <v/>
      </c>
      <c r="L55" s="48" t="n"/>
      <c r="M55" s="51" t="n"/>
      <c r="N55" s="51">
        <f>IF(OR(M55="",H55=""),"",ROUND(H55-M55,2))</f>
        <v/>
      </c>
      <c r="O55" s="49" t="n"/>
      <c r="P55" s="48" t="n"/>
    </row>
    <row r="56" ht="15" customHeight="1" s="30">
      <c r="A56" s="48" t="n"/>
      <c r="B56" s="53" t="n"/>
      <c r="C56" s="48" t="n"/>
      <c r="D56" s="48" t="n"/>
      <c r="E56" s="53" t="n"/>
      <c r="F56" s="48" t="n"/>
      <c r="G56" s="48" t="n"/>
      <c r="H56" s="51" t="n"/>
      <c r="I56" s="51" t="n"/>
      <c r="J56" s="51" t="n"/>
      <c r="K56" s="51">
        <f>IF(COUNT(H56:J56)=0,"",SUM(H56:J56))</f>
        <v/>
      </c>
      <c r="L56" s="48" t="n"/>
      <c r="M56" s="51" t="n"/>
      <c r="N56" s="51">
        <f>IF(OR(M56="",H56=""),"",ROUND(H56-M56,2))</f>
        <v/>
      </c>
      <c r="O56" s="49" t="n"/>
      <c r="P56" s="48" t="n"/>
    </row>
    <row r="57" ht="15" customHeight="1" s="30">
      <c r="A57" s="48" t="n"/>
      <c r="B57" s="53" t="n"/>
      <c r="C57" s="48" t="n"/>
      <c r="D57" s="48" t="n"/>
      <c r="E57" s="53" t="n"/>
      <c r="F57" s="48" t="n"/>
      <c r="G57" s="48" t="n"/>
      <c r="H57" s="51" t="n"/>
      <c r="I57" s="51" t="n"/>
      <c r="J57" s="51" t="n"/>
      <c r="K57" s="51">
        <f>IF(COUNT(H57:J57)=0,"",SUM(H57:J57))</f>
        <v/>
      </c>
      <c r="L57" s="48" t="n"/>
      <c r="M57" s="51" t="n"/>
      <c r="N57" s="51">
        <f>IF(OR(M57="",H57=""),"",ROUND(H57-M57,2))</f>
        <v/>
      </c>
      <c r="O57" s="49" t="n"/>
      <c r="P57" s="48" t="n"/>
    </row>
    <row r="58" ht="15" customHeight="1" s="30">
      <c r="A58" s="48" t="n"/>
      <c r="B58" s="53" t="n"/>
      <c r="C58" s="48" t="n"/>
      <c r="D58" s="48" t="n"/>
      <c r="E58" s="53" t="n"/>
      <c r="F58" s="48" t="n"/>
      <c r="G58" s="48" t="n"/>
      <c r="H58" s="51" t="n"/>
      <c r="I58" s="51" t="n"/>
      <c r="J58" s="51" t="n"/>
      <c r="K58" s="51">
        <f>IF(COUNT(H58:J58)=0,"",SUM(H58:J58))</f>
        <v/>
      </c>
      <c r="L58" s="48" t="n"/>
      <c r="M58" s="51" t="n"/>
      <c r="N58" s="51">
        <f>IF(OR(M58="",H58=""),"",ROUND(H58-M58,2))</f>
        <v/>
      </c>
      <c r="O58" s="49" t="n"/>
      <c r="P58" s="48" t="n"/>
    </row>
    <row r="59" ht="15" customHeight="1" s="30">
      <c r="A59" s="48" t="n"/>
      <c r="B59" s="53" t="n"/>
      <c r="C59" s="48" t="n"/>
      <c r="D59" s="48" t="n"/>
      <c r="E59" s="53" t="n"/>
      <c r="F59" s="48" t="n"/>
      <c r="G59" s="48" t="n"/>
      <c r="H59" s="51" t="n"/>
      <c r="I59" s="51" t="n"/>
      <c r="J59" s="51" t="n"/>
      <c r="K59" s="51">
        <f>IF(COUNT(H59:J59)=0,"",SUM(H59:J59))</f>
        <v/>
      </c>
      <c r="L59" s="48" t="n"/>
      <c r="M59" s="51" t="n"/>
      <c r="N59" s="51">
        <f>IF(OR(M59="",H59=""),"",ROUND(H59-M59,2))</f>
        <v/>
      </c>
      <c r="O59" s="49" t="n"/>
      <c r="P59" s="48" t="n"/>
    </row>
    <row r="60" ht="15" customHeight="1" s="30">
      <c r="A60" s="48" t="n"/>
      <c r="B60" s="53" t="n"/>
      <c r="C60" s="48" t="n"/>
      <c r="D60" s="48" t="n"/>
      <c r="E60" s="53" t="n"/>
      <c r="F60" s="48" t="n"/>
      <c r="G60" s="48" t="n"/>
      <c r="H60" s="51" t="n"/>
      <c r="I60" s="51" t="n"/>
      <c r="J60" s="51" t="n"/>
      <c r="K60" s="51">
        <f>IF(COUNT(H60:J60)=0,"",SUM(H60:J60))</f>
        <v/>
      </c>
      <c r="L60" s="48" t="n"/>
      <c r="M60" s="51" t="n"/>
      <c r="N60" s="51">
        <f>IF(OR(M60="",H60=""),"",ROUND(H60-M60,2))</f>
        <v/>
      </c>
      <c r="O60" s="49" t="n"/>
      <c r="P60" s="48" t="n"/>
    </row>
    <row r="61" ht="15" customHeight="1" s="30">
      <c r="A61" s="48" t="n"/>
      <c r="B61" s="53" t="n"/>
      <c r="C61" s="48" t="n"/>
      <c r="D61" s="48" t="n"/>
      <c r="E61" s="53" t="n"/>
      <c r="F61" s="48" t="n"/>
      <c r="G61" s="48" t="n"/>
      <c r="H61" s="51" t="n"/>
      <c r="I61" s="51" t="n"/>
      <c r="J61" s="51" t="n"/>
      <c r="K61" s="51">
        <f>IF(COUNT(H61:J61)=0,"",SUM(H61:J61))</f>
        <v/>
      </c>
      <c r="L61" s="48" t="n"/>
      <c r="M61" s="51" t="n"/>
      <c r="N61" s="51">
        <f>IF(OR(M61="",H61=""),"",ROUND(H61-M61,2))</f>
        <v/>
      </c>
      <c r="O61" s="49" t="n"/>
      <c r="P61" s="48" t="n"/>
    </row>
    <row r="62" ht="15" customHeight="1" s="30">
      <c r="A62" s="48" t="n"/>
      <c r="B62" s="53" t="n"/>
      <c r="C62" s="48" t="n"/>
      <c r="D62" s="48" t="n"/>
      <c r="E62" s="53" t="n"/>
      <c r="F62" s="48" t="n"/>
      <c r="G62" s="48" t="n"/>
      <c r="H62" s="51" t="n"/>
      <c r="I62" s="51" t="n"/>
      <c r="J62" s="51" t="n"/>
      <c r="K62" s="51">
        <f>IF(COUNT(H62:J62)=0,"",SUM(H62:J62))</f>
        <v/>
      </c>
      <c r="L62" s="48" t="n"/>
      <c r="M62" s="51" t="n"/>
      <c r="N62" s="51">
        <f>IF(OR(M62="",H62=""),"",ROUND(H62-M62,2))</f>
        <v/>
      </c>
      <c r="O62" s="49" t="n"/>
      <c r="P62" s="48" t="n"/>
    </row>
    <row r="63" ht="15" customHeight="1" s="30">
      <c r="A63" s="48" t="n"/>
      <c r="B63" s="53" t="n"/>
      <c r="C63" s="48" t="n"/>
      <c r="D63" s="48" t="n"/>
      <c r="E63" s="53" t="n"/>
      <c r="F63" s="48" t="n"/>
      <c r="G63" s="48" t="n"/>
      <c r="H63" s="51" t="n"/>
      <c r="I63" s="51" t="n"/>
      <c r="J63" s="51" t="n"/>
      <c r="K63" s="51">
        <f>IF(COUNT(H63:J63)=0,"",SUM(H63:J63))</f>
        <v/>
      </c>
      <c r="L63" s="48" t="n"/>
      <c r="M63" s="51" t="n"/>
      <c r="N63" s="51">
        <f>IF(OR(M63="",H63=""),"",ROUND(H63-M63,2))</f>
        <v/>
      </c>
      <c r="O63" s="49" t="n"/>
      <c r="P63" s="48" t="n"/>
    </row>
    <row r="64" ht="15" customHeight="1" s="30">
      <c r="A64" s="48" t="n"/>
      <c r="B64" s="53" t="n"/>
      <c r="C64" s="48" t="n"/>
      <c r="D64" s="48" t="n"/>
      <c r="E64" s="53" t="n"/>
      <c r="F64" s="48" t="n"/>
      <c r="G64" s="48" t="n"/>
      <c r="H64" s="51" t="n"/>
      <c r="I64" s="51" t="n"/>
      <c r="J64" s="51" t="n"/>
      <c r="K64" s="51">
        <f>IF(COUNT(H64:J64)=0,"",SUM(H64:J64))</f>
        <v/>
      </c>
      <c r="L64" s="48" t="n"/>
      <c r="M64" s="51" t="n"/>
      <c r="N64" s="51">
        <f>IF(OR(M64="",H64=""),"",ROUND(H64-M64,2))</f>
        <v/>
      </c>
      <c r="O64" s="49" t="n"/>
      <c r="P64" s="48" t="n"/>
    </row>
  </sheetData>
  <autoFilter ref="A4:P64"/>
  <dataValidations count="3">
    <dataValidation sqref="D5:D64" showDropDown="0" showInputMessage="0" showErrorMessage="0" allowBlank="1" type="list" errorStyle="stop" operator="between">
      <formula1>"Normal,Complementaria"</formula1>
      <formula2>0</formula2>
    </dataValidation>
    <dataValidation sqref="O5:O64" showDropDown="0" showInputMessage="0" showErrorMessage="0" allowBlank="1" type="list" errorStyle="stop" operator="between">
      <formula1>"Sí,No,Modificar"</formula1>
      <formula2>0</formula2>
    </dataValidation>
    <dataValidation sqref="P5:P64" showDropDown="0" showInputMessage="0" showErrorMessage="0" allowBlank="1" type="list" errorStyle="stop" operator="between">
      <formula1>"Pendiente,Aplicado,Error"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tabColor rgb="FF24606C"/>
    <outlinePr summaryBelow="1" summaryRight="1"/>
    <pageSetUpPr fitToPage="0"/>
  </sheetPr>
  <dimension ref="A1:E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29" min="1" max="1"/>
    <col width="18" customWidth="1" style="29" min="2" max="3"/>
    <col width="14" customWidth="1" style="29" min="4" max="4"/>
    <col width="44" customWidth="1" style="29" min="5" max="5"/>
  </cols>
  <sheetData>
    <row r="1" ht="19.7" customHeight="1" s="30">
      <c r="A1" s="31" t="inlineStr">
        <is>
          <t>Verificación de cierre</t>
        </is>
      </c>
    </row>
    <row r="2" ht="15" customHeight="1" s="30">
      <c r="A2" s="32" t="inlineStr">
        <is>
          <t>Los controles se calculan con las hojas del libro; los datos de Odoo los escribe la skill al terminar.</t>
        </is>
      </c>
    </row>
    <row r="4" ht="15" customHeight="1" s="30">
      <c r="A4" s="38" t="inlineStr">
        <is>
          <t>Control</t>
        </is>
      </c>
      <c r="B4" s="38" t="inlineStr">
        <is>
          <t>Valor</t>
        </is>
      </c>
      <c r="C4" s="38" t="inlineStr">
        <is>
          <t>Esperado</t>
        </is>
      </c>
      <c r="D4" s="38" t="inlineStr">
        <is>
          <t>Resultado</t>
        </is>
      </c>
      <c r="E4" s="38" t="inlineStr">
        <is>
          <t>Fuente</t>
        </is>
      </c>
    </row>
    <row r="5" ht="15" customHeight="1" s="30">
      <c r="A5" s="39" t="inlineStr">
        <is>
          <t>Movimientos del extracto</t>
        </is>
      </c>
      <c r="B5" s="54">
        <f>COUNTA(02_Extracto!A5:A64)</f>
        <v/>
      </c>
      <c r="C5" s="54" t="n"/>
      <c r="D5" s="41" t="inlineStr">
        <is>
          <t>Informativo</t>
        </is>
      </c>
      <c r="E5" s="41" t="inlineStr">
        <is>
          <t>02_Extracto</t>
        </is>
      </c>
    </row>
    <row r="6" ht="15" customHeight="1" s="30">
      <c r="A6" s="39" t="inlineStr">
        <is>
          <t>Suma neta del extracto</t>
        </is>
      </c>
      <c r="B6" s="54">
        <f>SUM(02_Extracto!I5:I64)</f>
        <v/>
      </c>
      <c r="C6" s="54">
        <f>00_Parametros!B16-00_Parametros!B15</f>
        <v/>
      </c>
      <c r="D6" s="39">
        <f>IF(B6="","Pendiente",IF(ROUND(B6-C6,2)=0,"OK","Revisar"))</f>
        <v/>
      </c>
      <c r="E6" s="41" t="inlineStr">
        <is>
          <t>Saldo final menos saldo inicial del banco</t>
        </is>
      </c>
    </row>
    <row r="7" ht="15" customHeight="1" s="30">
      <c r="A7" s="39" t="inlineStr">
        <is>
          <t>Propuestas aprobadas</t>
        </is>
      </c>
      <c r="B7" s="54">
        <f>COUNTIF(04_Propuesta!P5:P64,"Sí")</f>
        <v/>
      </c>
      <c r="C7" s="54" t="n"/>
      <c r="D7" s="41" t="inlineStr">
        <is>
          <t>Informativo</t>
        </is>
      </c>
      <c r="E7" s="41" t="inlineStr">
        <is>
          <t>04_Propuesta</t>
        </is>
      </c>
    </row>
    <row r="8" ht="15" customHeight="1" s="30">
      <c r="A8" s="39" t="inlineStr">
        <is>
          <t>Propuestas aprobadas pendientes de aplicar</t>
        </is>
      </c>
      <c r="B8" s="54">
        <f>COUNTIFS(04_Propuesta!P5:P64,"Sí",04_Propuesta!R5:R64,"&lt;&gt;Aplicado")</f>
        <v/>
      </c>
      <c r="C8" s="54" t="n">
        <v>0</v>
      </c>
      <c r="D8" s="39">
        <f>IF(B8="","Pendiente",IF(ROUND(B8-C8,2)=0,"OK","Revisar"))</f>
        <v/>
      </c>
      <c r="E8" s="41" t="inlineStr">
        <is>
          <t>Debe ser 0 al cierre</t>
        </is>
      </c>
    </row>
    <row r="9" ht="15" customHeight="1" s="30">
      <c r="A9" s="39" t="inlineStr">
        <is>
          <t>Propuestas con error o por revalidar</t>
        </is>
      </c>
      <c r="B9" s="54">
        <f>COUNTIF(04_Propuesta!R5:R64,"Error")+COUNTIF(04_Propuesta!R5:R64,"Revalidar")</f>
        <v/>
      </c>
      <c r="C9" s="54" t="n">
        <v>0</v>
      </c>
      <c r="D9" s="39">
        <f>IF(B9="","Pendiente",IF(ROUND(B9-C9,2)=0,"OK","Revisar"))</f>
        <v/>
      </c>
      <c r="E9" s="41" t="inlineStr">
        <is>
          <t>Debe ser 0 al cierre</t>
        </is>
      </c>
    </row>
    <row r="10" ht="15" customHeight="1" s="30">
      <c r="A10" s="39" t="inlineStr">
        <is>
          <t>Aplicadas sin verificar</t>
        </is>
      </c>
      <c r="B10" s="54">
        <f>COUNTIFS(04_Propuesta!R5:R64,"Aplicado",04_Propuesta!T5:T64,"&lt;&gt;Sí")</f>
        <v/>
      </c>
      <c r="C10" s="54" t="n">
        <v>0</v>
      </c>
      <c r="D10" s="39">
        <f>IF(B10="","Pendiente",IF(ROUND(B10-C10,2)=0,"OK","Revisar"))</f>
        <v/>
      </c>
      <c r="E10" s="41" t="inlineStr">
        <is>
          <t>Debe ser 0 al cierre</t>
        </is>
      </c>
    </row>
    <row r="11" ht="15" customHeight="1" s="30">
      <c r="A11" s="39" t="inlineStr">
        <is>
          <t>Movimientos sin propuesta pendientes</t>
        </is>
      </c>
      <c r="B11" s="54">
        <f>COUNTIF(05_Sin_Match!H5:H64,"Pendiente")</f>
        <v/>
      </c>
      <c r="C11" s="54" t="n">
        <v>0</v>
      </c>
      <c r="D11" s="39">
        <f>IF(B11="","Pendiente",IF(ROUND(B11-C11,2)=0,"OK","Revisar"))</f>
        <v/>
      </c>
      <c r="E11" s="41" t="inlineStr">
        <is>
          <t>05_Sin_Match</t>
        </is>
      </c>
    </row>
    <row r="12" ht="15" customHeight="1" s="30">
      <c r="A12" s="39" t="inlineStr">
        <is>
          <t>Ajustes aprobados pendientes</t>
        </is>
      </c>
      <c r="B12" s="54">
        <f>COUNTIFS(06_Ajustes!I5:I64,"Sí",06_Ajustes!K5:K64,"&lt;&gt;Aplicado")</f>
        <v/>
      </c>
      <c r="C12" s="54" t="n">
        <v>0</v>
      </c>
      <c r="D12" s="39">
        <f>IF(B12="","Pendiente",IF(ROUND(B12-C12,2)=0,"OK","Revisar"))</f>
        <v/>
      </c>
      <c r="E12" s="41" t="inlineStr">
        <is>
          <t>06_Ajustes</t>
        </is>
      </c>
    </row>
    <row r="13" ht="15" customHeight="1" s="30">
      <c r="A13" s="39" t="inlineStr">
        <is>
          <t>Saldo de suspenso en Odoo (lo escribe la skill)</t>
        </is>
      </c>
      <c r="B13" s="55" t="n"/>
      <c r="C13" s="54" t="n">
        <v>0</v>
      </c>
      <c r="D13" s="39">
        <f>IF(B13="","Pendiente",IF(ROUND(B13-C13,2)=0,"OK","Revisar"))</f>
        <v/>
      </c>
      <c r="E13" s="41" t="inlineStr">
        <is>
          <t>Cuenta de suspenso al final del periodo</t>
        </is>
      </c>
    </row>
    <row r="14" ht="15" customHeight="1" s="30">
      <c r="A14" s="39" t="inlineStr">
        <is>
          <t>Líneas del diario sin conciliar (lo escribe la skill)</t>
        </is>
      </c>
      <c r="B14" s="55" t="n"/>
      <c r="C14" s="54" t="n">
        <v>0</v>
      </c>
      <c r="D14" s="39">
        <f>IF(B14="","Pendiente",IF(ROUND(B14-C14,2)=0,"OK","Revisar"))</f>
        <v/>
      </c>
      <c r="E14" s="41" t="inlineStr">
        <is>
          <t>account.bank.statement.line con is_reconciled = False</t>
        </is>
      </c>
    </row>
    <row r="15" ht="15" customHeight="1" s="30">
      <c r="A15" s="39" t="inlineStr">
        <is>
          <t>Saldo del banco en Odoo (lo escribe la skill)</t>
        </is>
      </c>
      <c r="B15" s="55" t="n"/>
      <c r="C15" s="54">
        <f>00_Parametros!B16</f>
        <v/>
      </c>
      <c r="D15" s="39">
        <f>IF(B15="","Pendiente",IF(ROUND(B15-C15,2)=0,"OK","Revisar"))</f>
        <v/>
      </c>
      <c r="E15" s="41" t="inlineStr">
        <is>
          <t>Debe igualar el saldo final del banco</t>
        </is>
      </c>
    </row>
    <row r="16" ht="15" customHeight="1" s="30">
      <c r="A16" s="39" t="inlineStr">
        <is>
          <t>Suma total de la balanza (lo escribe la skill)</t>
        </is>
      </c>
      <c r="B16" s="55" t="n"/>
      <c r="C16" s="54" t="n">
        <v>0</v>
      </c>
      <c r="D16" s="39">
        <f>IF(B16="","Pendiente",IF(ROUND(B16-C16,2)=0,"OK","Revisar"))</f>
        <v/>
      </c>
      <c r="E16" s="41" t="inlineStr">
        <is>
          <t>Debe ser 0.00</t>
        </is>
      </c>
    </row>
    <row r="17" ht="15" customHeight="1" s="30">
      <c r="A17" s="39" t="inlineStr">
        <is>
          <t>Pagos creados sin aprobación (lo escribe la skill)</t>
        </is>
      </c>
      <c r="B17" s="55" t="n"/>
      <c r="C17" s="54" t="n">
        <v>0</v>
      </c>
      <c r="D17" s="39">
        <f>IF(B17="","Pendiente",IF(ROUND(B17-C17,2)=0,"OK","Revisar"))</f>
        <v/>
      </c>
      <c r="E17" s="41" t="inlineStr">
        <is>
          <t>Conteo antes y después</t>
        </is>
      </c>
    </row>
    <row r="19" ht="15" customHeight="1" s="30">
      <c r="A19" s="56" t="inlineStr">
        <is>
          <t>Estado general</t>
        </is>
      </c>
      <c r="D19" s="57">
        <f>IF(COUNTIF(D5:D17,"Revisar")+COUNTIF(D5:D17,"Pendiente")=0,"CERRADO","ABIERTO")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24606C"/>
    <outlinePr summaryBelow="1" summaryRight="1"/>
    <pageSetUpPr fitToPage="0"/>
  </sheetPr>
  <dimension ref="A1:G6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9" min="1" max="1"/>
    <col width="11" customWidth="1" style="29" min="2" max="2"/>
    <col width="40" customWidth="1" style="29" min="3" max="3"/>
    <col width="30" customWidth="1" style="29" min="4" max="5"/>
    <col width="44" customWidth="1" style="29" min="6" max="6"/>
    <col width="11" customWidth="1" style="29" min="7" max="7"/>
  </cols>
  <sheetData>
    <row r="1" ht="19.7" customHeight="1" s="30">
      <c r="A1" s="31" t="inlineStr">
        <is>
          <t>Reversión por paso</t>
        </is>
      </c>
    </row>
    <row r="2" ht="15" customHeight="1" s="30">
      <c r="A2" s="32" t="inlineStr">
        <is>
          <t>Cómo deshacer cada cambio aplicado. Respaldo JSON guardado antes de cada escritura.</t>
        </is>
      </c>
    </row>
    <row r="4" ht="33.75" customHeight="1" s="30">
      <c r="A4" s="44" t="inlineStr">
        <is>
          <t>Paso</t>
        </is>
      </c>
      <c r="B4" s="44" t="inlineStr">
        <is>
          <t>Fecha</t>
        </is>
      </c>
      <c r="C4" s="44" t="inlineStr">
        <is>
          <t>Qué se hizo</t>
        </is>
      </c>
      <c r="D4" s="44" t="inlineStr">
        <is>
          <t>Registros afectados</t>
        </is>
      </c>
      <c r="E4" s="44" t="inlineStr">
        <is>
          <t>Archivo de respaldo</t>
        </is>
      </c>
      <c r="F4" s="44" t="inlineStr">
        <is>
          <t>Cómo se revierte</t>
        </is>
      </c>
      <c r="G4" s="44" t="inlineStr">
        <is>
          <t>¿Reversible?</t>
        </is>
      </c>
    </row>
    <row r="5" ht="23.85" customHeight="1" s="30">
      <c r="A5" s="46" t="inlineStr">
        <is>
          <t>P001</t>
        </is>
      </c>
      <c r="B5" s="50" t="n">
        <v>46290</v>
      </c>
      <c r="C5" s="46" t="inlineStr">
        <is>
          <t>Reclasificación mensual de cajas a acreedores</t>
        </is>
      </c>
      <c r="D5" s="46" t="inlineStr">
        <is>
          <t>MISC/2026/05/0002 a MISC/2026/09/0001</t>
        </is>
      </c>
      <c r="E5" s="46" t="inlineStr">
        <is>
          <t>RESPALDO_balanza_antes_rutaB.json</t>
        </is>
      </c>
      <c r="F5" s="46" t="inlineStr">
        <is>
          <t>Reversar los 5 asientos</t>
        </is>
      </c>
      <c r="G5" s="46" t="inlineStr">
        <is>
          <t>Sí</t>
        </is>
      </c>
    </row>
    <row r="6" ht="15" customHeight="1" s="30">
      <c r="A6" s="48" t="n"/>
      <c r="B6" s="53" t="n"/>
      <c r="C6" s="48" t="n"/>
      <c r="D6" s="48" t="n"/>
      <c r="E6" s="48" t="n"/>
      <c r="F6" s="48" t="n"/>
      <c r="G6" s="48" t="n"/>
    </row>
    <row r="7" ht="15" customHeight="1" s="30">
      <c r="A7" s="48" t="n"/>
      <c r="B7" s="53" t="n"/>
      <c r="C7" s="48" t="n"/>
      <c r="D7" s="48" t="n"/>
      <c r="E7" s="48" t="n"/>
      <c r="F7" s="48" t="n"/>
      <c r="G7" s="48" t="n"/>
    </row>
    <row r="8" ht="15" customHeight="1" s="30">
      <c r="A8" s="48" t="n"/>
      <c r="B8" s="53" t="n"/>
      <c r="C8" s="48" t="n"/>
      <c r="D8" s="48" t="n"/>
      <c r="E8" s="48" t="n"/>
      <c r="F8" s="48" t="n"/>
      <c r="G8" s="48" t="n"/>
    </row>
    <row r="9" ht="15" customHeight="1" s="30">
      <c r="A9" s="48" t="n"/>
      <c r="B9" s="53" t="n"/>
      <c r="C9" s="48" t="n"/>
      <c r="D9" s="48" t="n"/>
      <c r="E9" s="48" t="n"/>
      <c r="F9" s="48" t="n"/>
      <c r="G9" s="48" t="n"/>
    </row>
    <row r="10" ht="15" customHeight="1" s="30">
      <c r="A10" s="48" t="n"/>
      <c r="B10" s="53" t="n"/>
      <c r="C10" s="48" t="n"/>
      <c r="D10" s="48" t="n"/>
      <c r="E10" s="48" t="n"/>
      <c r="F10" s="48" t="n"/>
      <c r="G10" s="48" t="n"/>
    </row>
    <row r="11" ht="15" customHeight="1" s="30">
      <c r="A11" s="48" t="n"/>
      <c r="B11" s="53" t="n"/>
      <c r="C11" s="48" t="n"/>
      <c r="D11" s="48" t="n"/>
      <c r="E11" s="48" t="n"/>
      <c r="F11" s="48" t="n"/>
      <c r="G11" s="48" t="n"/>
    </row>
    <row r="12" ht="15" customHeight="1" s="30">
      <c r="A12" s="48" t="n"/>
      <c r="B12" s="53" t="n"/>
      <c r="C12" s="48" t="n"/>
      <c r="D12" s="48" t="n"/>
      <c r="E12" s="48" t="n"/>
      <c r="F12" s="48" t="n"/>
      <c r="G12" s="48" t="n"/>
    </row>
    <row r="13" ht="15" customHeight="1" s="30">
      <c r="A13" s="48" t="n"/>
      <c r="B13" s="53" t="n"/>
      <c r="C13" s="48" t="n"/>
      <c r="D13" s="48" t="n"/>
      <c r="E13" s="48" t="n"/>
      <c r="F13" s="48" t="n"/>
      <c r="G13" s="48" t="n"/>
    </row>
    <row r="14" ht="15" customHeight="1" s="30">
      <c r="A14" s="48" t="n"/>
      <c r="B14" s="53" t="n"/>
      <c r="C14" s="48" t="n"/>
      <c r="D14" s="48" t="n"/>
      <c r="E14" s="48" t="n"/>
      <c r="F14" s="48" t="n"/>
      <c r="G14" s="48" t="n"/>
    </row>
    <row r="15" ht="15" customHeight="1" s="30">
      <c r="A15" s="48" t="n"/>
      <c r="B15" s="53" t="n"/>
      <c r="C15" s="48" t="n"/>
      <c r="D15" s="48" t="n"/>
      <c r="E15" s="48" t="n"/>
      <c r="F15" s="48" t="n"/>
      <c r="G15" s="48" t="n"/>
    </row>
    <row r="16" ht="15" customHeight="1" s="30">
      <c r="A16" s="48" t="n"/>
      <c r="B16" s="53" t="n"/>
      <c r="C16" s="48" t="n"/>
      <c r="D16" s="48" t="n"/>
      <c r="E16" s="48" t="n"/>
      <c r="F16" s="48" t="n"/>
      <c r="G16" s="48" t="n"/>
    </row>
    <row r="17" ht="15" customHeight="1" s="30">
      <c r="A17" s="48" t="n"/>
      <c r="B17" s="53" t="n"/>
      <c r="C17" s="48" t="n"/>
      <c r="D17" s="48" t="n"/>
      <c r="E17" s="48" t="n"/>
      <c r="F17" s="48" t="n"/>
      <c r="G17" s="48" t="n"/>
    </row>
    <row r="18" ht="15" customHeight="1" s="30">
      <c r="A18" s="48" t="n"/>
      <c r="B18" s="53" t="n"/>
      <c r="C18" s="48" t="n"/>
      <c r="D18" s="48" t="n"/>
      <c r="E18" s="48" t="n"/>
      <c r="F18" s="48" t="n"/>
      <c r="G18" s="48" t="n"/>
    </row>
    <row r="19" ht="15" customHeight="1" s="30">
      <c r="A19" s="48" t="n"/>
      <c r="B19" s="53" t="n"/>
      <c r="C19" s="48" t="n"/>
      <c r="D19" s="48" t="n"/>
      <c r="E19" s="48" t="n"/>
      <c r="F19" s="48" t="n"/>
      <c r="G19" s="48" t="n"/>
    </row>
    <row r="20" ht="15" customHeight="1" s="30">
      <c r="A20" s="48" t="n"/>
      <c r="B20" s="53" t="n"/>
      <c r="C20" s="48" t="n"/>
      <c r="D20" s="48" t="n"/>
      <c r="E20" s="48" t="n"/>
      <c r="F20" s="48" t="n"/>
      <c r="G20" s="48" t="n"/>
    </row>
    <row r="21" ht="15" customHeight="1" s="30">
      <c r="A21" s="48" t="n"/>
      <c r="B21" s="53" t="n"/>
      <c r="C21" s="48" t="n"/>
      <c r="D21" s="48" t="n"/>
      <c r="E21" s="48" t="n"/>
      <c r="F21" s="48" t="n"/>
      <c r="G21" s="48" t="n"/>
    </row>
    <row r="22" ht="15" customHeight="1" s="30">
      <c r="A22" s="48" t="n"/>
      <c r="B22" s="53" t="n"/>
      <c r="C22" s="48" t="n"/>
      <c r="D22" s="48" t="n"/>
      <c r="E22" s="48" t="n"/>
      <c r="F22" s="48" t="n"/>
      <c r="G22" s="48" t="n"/>
    </row>
    <row r="23" ht="15" customHeight="1" s="30">
      <c r="A23" s="48" t="n"/>
      <c r="B23" s="53" t="n"/>
      <c r="C23" s="48" t="n"/>
      <c r="D23" s="48" t="n"/>
      <c r="E23" s="48" t="n"/>
      <c r="F23" s="48" t="n"/>
      <c r="G23" s="48" t="n"/>
    </row>
    <row r="24" ht="15" customHeight="1" s="30">
      <c r="A24" s="48" t="n"/>
      <c r="B24" s="53" t="n"/>
      <c r="C24" s="48" t="n"/>
      <c r="D24" s="48" t="n"/>
      <c r="E24" s="48" t="n"/>
      <c r="F24" s="48" t="n"/>
      <c r="G24" s="48" t="n"/>
    </row>
    <row r="25" ht="15" customHeight="1" s="30">
      <c r="A25" s="48" t="n"/>
      <c r="B25" s="53" t="n"/>
      <c r="C25" s="48" t="n"/>
      <c r="D25" s="48" t="n"/>
      <c r="E25" s="48" t="n"/>
      <c r="F25" s="48" t="n"/>
      <c r="G25" s="48" t="n"/>
    </row>
    <row r="26" ht="15" customHeight="1" s="30">
      <c r="A26" s="48" t="n"/>
      <c r="B26" s="53" t="n"/>
      <c r="C26" s="48" t="n"/>
      <c r="D26" s="48" t="n"/>
      <c r="E26" s="48" t="n"/>
      <c r="F26" s="48" t="n"/>
      <c r="G26" s="48" t="n"/>
    </row>
    <row r="27" ht="15" customHeight="1" s="30">
      <c r="A27" s="48" t="n"/>
      <c r="B27" s="53" t="n"/>
      <c r="C27" s="48" t="n"/>
      <c r="D27" s="48" t="n"/>
      <c r="E27" s="48" t="n"/>
      <c r="F27" s="48" t="n"/>
      <c r="G27" s="48" t="n"/>
    </row>
    <row r="28" ht="15" customHeight="1" s="30">
      <c r="A28" s="48" t="n"/>
      <c r="B28" s="53" t="n"/>
      <c r="C28" s="48" t="n"/>
      <c r="D28" s="48" t="n"/>
      <c r="E28" s="48" t="n"/>
      <c r="F28" s="48" t="n"/>
      <c r="G28" s="48" t="n"/>
    </row>
    <row r="29" ht="15" customHeight="1" s="30">
      <c r="A29" s="48" t="n"/>
      <c r="B29" s="53" t="n"/>
      <c r="C29" s="48" t="n"/>
      <c r="D29" s="48" t="n"/>
      <c r="E29" s="48" t="n"/>
      <c r="F29" s="48" t="n"/>
      <c r="G29" s="48" t="n"/>
    </row>
    <row r="30" ht="15" customHeight="1" s="30">
      <c r="A30" s="48" t="n"/>
      <c r="B30" s="53" t="n"/>
      <c r="C30" s="48" t="n"/>
      <c r="D30" s="48" t="n"/>
      <c r="E30" s="48" t="n"/>
      <c r="F30" s="48" t="n"/>
      <c r="G30" s="48" t="n"/>
    </row>
    <row r="31" ht="15" customHeight="1" s="30">
      <c r="A31" s="48" t="n"/>
      <c r="B31" s="53" t="n"/>
      <c r="C31" s="48" t="n"/>
      <c r="D31" s="48" t="n"/>
      <c r="E31" s="48" t="n"/>
      <c r="F31" s="48" t="n"/>
      <c r="G31" s="48" t="n"/>
    </row>
    <row r="32" ht="15" customHeight="1" s="30">
      <c r="A32" s="48" t="n"/>
      <c r="B32" s="53" t="n"/>
      <c r="C32" s="48" t="n"/>
      <c r="D32" s="48" t="n"/>
      <c r="E32" s="48" t="n"/>
      <c r="F32" s="48" t="n"/>
      <c r="G32" s="48" t="n"/>
    </row>
    <row r="33" ht="15" customHeight="1" s="30">
      <c r="A33" s="48" t="n"/>
      <c r="B33" s="53" t="n"/>
      <c r="C33" s="48" t="n"/>
      <c r="D33" s="48" t="n"/>
      <c r="E33" s="48" t="n"/>
      <c r="F33" s="48" t="n"/>
      <c r="G33" s="48" t="n"/>
    </row>
    <row r="34" ht="15" customHeight="1" s="30">
      <c r="A34" s="48" t="n"/>
      <c r="B34" s="53" t="n"/>
      <c r="C34" s="48" t="n"/>
      <c r="D34" s="48" t="n"/>
      <c r="E34" s="48" t="n"/>
      <c r="F34" s="48" t="n"/>
      <c r="G34" s="48" t="n"/>
    </row>
    <row r="35" ht="15" customHeight="1" s="30">
      <c r="A35" s="48" t="n"/>
      <c r="B35" s="53" t="n"/>
      <c r="C35" s="48" t="n"/>
      <c r="D35" s="48" t="n"/>
      <c r="E35" s="48" t="n"/>
      <c r="F35" s="48" t="n"/>
      <c r="G35" s="48" t="n"/>
    </row>
    <row r="36" ht="15" customHeight="1" s="30">
      <c r="A36" s="48" t="n"/>
      <c r="B36" s="53" t="n"/>
      <c r="C36" s="48" t="n"/>
      <c r="D36" s="48" t="n"/>
      <c r="E36" s="48" t="n"/>
      <c r="F36" s="48" t="n"/>
      <c r="G36" s="48" t="n"/>
    </row>
    <row r="37" ht="15" customHeight="1" s="30">
      <c r="A37" s="48" t="n"/>
      <c r="B37" s="53" t="n"/>
      <c r="C37" s="48" t="n"/>
      <c r="D37" s="48" t="n"/>
      <c r="E37" s="48" t="n"/>
      <c r="F37" s="48" t="n"/>
      <c r="G37" s="48" t="n"/>
    </row>
    <row r="38" ht="15" customHeight="1" s="30">
      <c r="A38" s="48" t="n"/>
      <c r="B38" s="53" t="n"/>
      <c r="C38" s="48" t="n"/>
      <c r="D38" s="48" t="n"/>
      <c r="E38" s="48" t="n"/>
      <c r="F38" s="48" t="n"/>
      <c r="G38" s="48" t="n"/>
    </row>
    <row r="39" ht="15" customHeight="1" s="30">
      <c r="A39" s="48" t="n"/>
      <c r="B39" s="53" t="n"/>
      <c r="C39" s="48" t="n"/>
      <c r="D39" s="48" t="n"/>
      <c r="E39" s="48" t="n"/>
      <c r="F39" s="48" t="n"/>
      <c r="G39" s="48" t="n"/>
    </row>
    <row r="40" ht="15" customHeight="1" s="30">
      <c r="A40" s="48" t="n"/>
      <c r="B40" s="53" t="n"/>
      <c r="C40" s="48" t="n"/>
      <c r="D40" s="48" t="n"/>
      <c r="E40" s="48" t="n"/>
      <c r="F40" s="48" t="n"/>
      <c r="G40" s="48" t="n"/>
    </row>
    <row r="41" ht="15" customHeight="1" s="30">
      <c r="A41" s="48" t="n"/>
      <c r="B41" s="53" t="n"/>
      <c r="C41" s="48" t="n"/>
      <c r="D41" s="48" t="n"/>
      <c r="E41" s="48" t="n"/>
      <c r="F41" s="48" t="n"/>
      <c r="G41" s="48" t="n"/>
    </row>
    <row r="42" ht="15" customHeight="1" s="30">
      <c r="A42" s="48" t="n"/>
      <c r="B42" s="53" t="n"/>
      <c r="C42" s="48" t="n"/>
      <c r="D42" s="48" t="n"/>
      <c r="E42" s="48" t="n"/>
      <c r="F42" s="48" t="n"/>
      <c r="G42" s="48" t="n"/>
    </row>
    <row r="43" ht="15" customHeight="1" s="30">
      <c r="A43" s="48" t="n"/>
      <c r="B43" s="53" t="n"/>
      <c r="C43" s="48" t="n"/>
      <c r="D43" s="48" t="n"/>
      <c r="E43" s="48" t="n"/>
      <c r="F43" s="48" t="n"/>
      <c r="G43" s="48" t="n"/>
    </row>
    <row r="44" ht="15" customHeight="1" s="30">
      <c r="A44" s="48" t="n"/>
      <c r="B44" s="53" t="n"/>
      <c r="C44" s="48" t="n"/>
      <c r="D44" s="48" t="n"/>
      <c r="E44" s="48" t="n"/>
      <c r="F44" s="48" t="n"/>
      <c r="G44" s="48" t="n"/>
    </row>
    <row r="45" ht="15" customHeight="1" s="30">
      <c r="A45" s="48" t="n"/>
      <c r="B45" s="53" t="n"/>
      <c r="C45" s="48" t="n"/>
      <c r="D45" s="48" t="n"/>
      <c r="E45" s="48" t="n"/>
      <c r="F45" s="48" t="n"/>
      <c r="G45" s="48" t="n"/>
    </row>
    <row r="46" ht="15" customHeight="1" s="30">
      <c r="A46" s="48" t="n"/>
      <c r="B46" s="53" t="n"/>
      <c r="C46" s="48" t="n"/>
      <c r="D46" s="48" t="n"/>
      <c r="E46" s="48" t="n"/>
      <c r="F46" s="48" t="n"/>
      <c r="G46" s="48" t="n"/>
    </row>
    <row r="47" ht="15" customHeight="1" s="30">
      <c r="A47" s="48" t="n"/>
      <c r="B47" s="53" t="n"/>
      <c r="C47" s="48" t="n"/>
      <c r="D47" s="48" t="n"/>
      <c r="E47" s="48" t="n"/>
      <c r="F47" s="48" t="n"/>
      <c r="G47" s="48" t="n"/>
    </row>
    <row r="48" ht="15" customHeight="1" s="30">
      <c r="A48" s="48" t="n"/>
      <c r="B48" s="53" t="n"/>
      <c r="C48" s="48" t="n"/>
      <c r="D48" s="48" t="n"/>
      <c r="E48" s="48" t="n"/>
      <c r="F48" s="48" t="n"/>
      <c r="G48" s="48" t="n"/>
    </row>
    <row r="49" ht="15" customHeight="1" s="30">
      <c r="A49" s="48" t="n"/>
      <c r="B49" s="53" t="n"/>
      <c r="C49" s="48" t="n"/>
      <c r="D49" s="48" t="n"/>
      <c r="E49" s="48" t="n"/>
      <c r="F49" s="48" t="n"/>
      <c r="G49" s="48" t="n"/>
    </row>
    <row r="50" ht="15" customHeight="1" s="30">
      <c r="A50" s="48" t="n"/>
      <c r="B50" s="53" t="n"/>
      <c r="C50" s="48" t="n"/>
      <c r="D50" s="48" t="n"/>
      <c r="E50" s="48" t="n"/>
      <c r="F50" s="48" t="n"/>
      <c r="G50" s="48" t="n"/>
    </row>
    <row r="51" ht="15" customHeight="1" s="30">
      <c r="A51" s="48" t="n"/>
      <c r="B51" s="53" t="n"/>
      <c r="C51" s="48" t="n"/>
      <c r="D51" s="48" t="n"/>
      <c r="E51" s="48" t="n"/>
      <c r="F51" s="48" t="n"/>
      <c r="G51" s="48" t="n"/>
    </row>
    <row r="52" ht="15" customHeight="1" s="30">
      <c r="A52" s="48" t="n"/>
      <c r="B52" s="53" t="n"/>
      <c r="C52" s="48" t="n"/>
      <c r="D52" s="48" t="n"/>
      <c r="E52" s="48" t="n"/>
      <c r="F52" s="48" t="n"/>
      <c r="G52" s="48" t="n"/>
    </row>
    <row r="53" ht="15" customHeight="1" s="30">
      <c r="A53" s="48" t="n"/>
      <c r="B53" s="53" t="n"/>
      <c r="C53" s="48" t="n"/>
      <c r="D53" s="48" t="n"/>
      <c r="E53" s="48" t="n"/>
      <c r="F53" s="48" t="n"/>
      <c r="G53" s="48" t="n"/>
    </row>
    <row r="54" ht="15" customHeight="1" s="30">
      <c r="A54" s="48" t="n"/>
      <c r="B54" s="53" t="n"/>
      <c r="C54" s="48" t="n"/>
      <c r="D54" s="48" t="n"/>
      <c r="E54" s="48" t="n"/>
      <c r="F54" s="48" t="n"/>
      <c r="G54" s="48" t="n"/>
    </row>
    <row r="55" ht="15" customHeight="1" s="30">
      <c r="A55" s="48" t="n"/>
      <c r="B55" s="53" t="n"/>
      <c r="C55" s="48" t="n"/>
      <c r="D55" s="48" t="n"/>
      <c r="E55" s="48" t="n"/>
      <c r="F55" s="48" t="n"/>
      <c r="G55" s="48" t="n"/>
    </row>
    <row r="56" ht="15" customHeight="1" s="30">
      <c r="A56" s="48" t="n"/>
      <c r="B56" s="53" t="n"/>
      <c r="C56" s="48" t="n"/>
      <c r="D56" s="48" t="n"/>
      <c r="E56" s="48" t="n"/>
      <c r="F56" s="48" t="n"/>
      <c r="G56" s="48" t="n"/>
    </row>
    <row r="57" ht="15" customHeight="1" s="30">
      <c r="A57" s="48" t="n"/>
      <c r="B57" s="53" t="n"/>
      <c r="C57" s="48" t="n"/>
      <c r="D57" s="48" t="n"/>
      <c r="E57" s="48" t="n"/>
      <c r="F57" s="48" t="n"/>
      <c r="G57" s="48" t="n"/>
    </row>
    <row r="58" ht="15" customHeight="1" s="30">
      <c r="A58" s="48" t="n"/>
      <c r="B58" s="53" t="n"/>
      <c r="C58" s="48" t="n"/>
      <c r="D58" s="48" t="n"/>
      <c r="E58" s="48" t="n"/>
      <c r="F58" s="48" t="n"/>
      <c r="G58" s="48" t="n"/>
    </row>
    <row r="59" ht="15" customHeight="1" s="30">
      <c r="A59" s="48" t="n"/>
      <c r="B59" s="53" t="n"/>
      <c r="C59" s="48" t="n"/>
      <c r="D59" s="48" t="n"/>
      <c r="E59" s="48" t="n"/>
      <c r="F59" s="48" t="n"/>
      <c r="G59" s="48" t="n"/>
    </row>
    <row r="60" ht="15" customHeight="1" s="30">
      <c r="A60" s="48" t="n"/>
      <c r="B60" s="53" t="n"/>
      <c r="C60" s="48" t="n"/>
      <c r="D60" s="48" t="n"/>
      <c r="E60" s="48" t="n"/>
      <c r="F60" s="48" t="n"/>
      <c r="G60" s="48" t="n"/>
    </row>
    <row r="61" ht="15" customHeight="1" s="30">
      <c r="A61" s="48" t="n"/>
      <c r="B61" s="53" t="n"/>
      <c r="C61" s="48" t="n"/>
      <c r="D61" s="48" t="n"/>
      <c r="E61" s="48" t="n"/>
      <c r="F61" s="48" t="n"/>
      <c r="G61" s="48" t="n"/>
    </row>
    <row r="62" ht="15" customHeight="1" s="30">
      <c r="A62" s="48" t="n"/>
      <c r="B62" s="53" t="n"/>
      <c r="C62" s="48" t="n"/>
      <c r="D62" s="48" t="n"/>
      <c r="E62" s="48" t="n"/>
      <c r="F62" s="48" t="n"/>
      <c r="G62" s="48" t="n"/>
    </row>
    <row r="63" ht="15" customHeight="1" s="30">
      <c r="A63" s="48" t="n"/>
      <c r="B63" s="53" t="n"/>
      <c r="C63" s="48" t="n"/>
      <c r="D63" s="48" t="n"/>
      <c r="E63" s="48" t="n"/>
      <c r="F63" s="48" t="n"/>
      <c r="G63" s="48" t="n"/>
    </row>
    <row r="64" ht="15" customHeight="1" s="30">
      <c r="A64" s="48" t="n"/>
      <c r="B64" s="53" t="n"/>
      <c r="C64" s="48" t="n"/>
      <c r="D64" s="48" t="n"/>
      <c r="E64" s="48" t="n"/>
      <c r="F64" s="48" t="n"/>
      <c r="G64" s="48" t="n"/>
    </row>
  </sheetData>
  <autoFilter ref="A4:G64"/>
  <dataValidations count="1">
    <dataValidation sqref="G5:G64" showDropDown="0" showInputMessage="0" showErrorMessage="0" allowBlank="1" type="list" errorStyle="stop" operator="between">
      <formula1>"Sí,No,Parcial"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tabColor rgb="FF24606C"/>
    <outlinePr summaryBelow="1" summaryRight="1"/>
    <pageSetUpPr fitToPage="0"/>
  </sheetPr>
  <dimension ref="A1:I6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29" min="1" max="1"/>
    <col width="16" customWidth="1" style="29" min="2" max="2"/>
    <col width="22" customWidth="1" style="29" min="3" max="3"/>
    <col width="14" customWidth="1" style="29" min="4" max="4"/>
    <col width="16" customWidth="1" style="29" min="5" max="5"/>
    <col width="34" customWidth="1" style="29" min="6" max="7"/>
    <col width="18" customWidth="1" style="29" min="8" max="8"/>
    <col width="24" customWidth="1" style="29" min="9" max="9"/>
  </cols>
  <sheetData>
    <row r="1" ht="19.7" customHeight="1" s="30">
      <c r="A1" s="31" t="inlineStr">
        <is>
          <t>Bitácora de escrituras</t>
        </is>
      </c>
    </row>
    <row r="2" ht="15" customHeight="1" s="30">
      <c r="A2" s="32" t="inlineStr">
        <is>
          <t>Una fila por llamada de escritura a Odoo. La llena la skill.</t>
        </is>
      </c>
    </row>
    <row r="4" ht="33.75" customHeight="1" s="30">
      <c r="A4" s="44" t="inlineStr">
        <is>
          <t>Fecha y hora</t>
        </is>
      </c>
      <c r="B4" s="44" t="inlineStr">
        <is>
          <t>Paso / ID aprobación</t>
        </is>
      </c>
      <c r="C4" s="44" t="inlineStr">
        <is>
          <t>Modelo</t>
        </is>
      </c>
      <c r="D4" s="44" t="inlineStr">
        <is>
          <t>Método</t>
        </is>
      </c>
      <c r="E4" s="44" t="inlineStr">
        <is>
          <t>IDs</t>
        </is>
      </c>
      <c r="F4" s="44" t="inlineStr">
        <is>
          <t>Valores anteriores</t>
        </is>
      </c>
      <c r="G4" s="44" t="inlineStr">
        <is>
          <t>Valores nuevos</t>
        </is>
      </c>
      <c r="H4" s="44" t="inlineStr">
        <is>
          <t>Resultado</t>
        </is>
      </c>
      <c r="I4" s="44" t="inlineStr">
        <is>
          <t>Usuario</t>
        </is>
      </c>
    </row>
    <row r="5" ht="23.85" customHeight="1" s="30">
      <c r="A5" s="46" t="inlineStr">
        <is>
          <t>2026-09-26 18:40</t>
        </is>
      </c>
      <c r="B5" s="46" t="inlineStr">
        <is>
          <t>P001</t>
        </is>
      </c>
      <c r="C5" s="46" t="inlineStr">
        <is>
          <t>account.move</t>
        </is>
      </c>
      <c r="D5" s="46" t="inlineStr">
        <is>
          <t>write + action_post</t>
        </is>
      </c>
      <c r="E5" s="46" t="inlineStr">
        <is>
          <t>836</t>
        </is>
      </c>
      <c r="F5" s="46" t="inlineStr">
        <is>
          <t>Línea 7558 en 102.01.02 por 2,234.00</t>
        </is>
      </c>
      <c r="G5" s="46" t="inlineStr">
        <is>
          <t>216.04.01 2,202.27 / 601.84.04 32.00 / 403.01.01 -0.27</t>
        </is>
      </c>
      <c r="H5" s="46" t="inlineStr">
        <is>
          <t>OK, is_reconciled = True</t>
        </is>
      </c>
      <c r="I5" s="46" t="inlineStr">
        <is>
          <t>usuario@mlrconsultores.com</t>
        </is>
      </c>
    </row>
    <row r="6" ht="15" customHeight="1" s="30">
      <c r="A6" s="48" t="n"/>
      <c r="B6" s="48" t="n"/>
      <c r="C6" s="48" t="n"/>
      <c r="D6" s="48" t="n"/>
      <c r="E6" s="48" t="n"/>
      <c r="F6" s="48" t="n"/>
      <c r="G6" s="48" t="n"/>
      <c r="H6" s="48" t="n"/>
      <c r="I6" s="48" t="n"/>
    </row>
    <row r="7" ht="15" customHeight="1" s="30">
      <c r="A7" s="48" t="n"/>
      <c r="B7" s="48" t="n"/>
      <c r="C7" s="48" t="n"/>
      <c r="D7" s="48" t="n"/>
      <c r="E7" s="48" t="n"/>
      <c r="F7" s="48" t="n"/>
      <c r="G7" s="48" t="n"/>
      <c r="H7" s="48" t="n"/>
      <c r="I7" s="48" t="n"/>
    </row>
    <row r="8" ht="15" customHeight="1" s="30">
      <c r="A8" s="48" t="n"/>
      <c r="B8" s="48" t="n"/>
      <c r="C8" s="48" t="n"/>
      <c r="D8" s="48" t="n"/>
      <c r="E8" s="48" t="n"/>
      <c r="F8" s="48" t="n"/>
      <c r="G8" s="48" t="n"/>
      <c r="H8" s="48" t="n"/>
      <c r="I8" s="48" t="n"/>
    </row>
    <row r="9" ht="15" customHeight="1" s="30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</row>
    <row r="10" ht="15" customHeight="1" s="30">
      <c r="A10" s="48" t="n"/>
      <c r="B10" s="48" t="n"/>
      <c r="C10" s="48" t="n"/>
      <c r="D10" s="48" t="n"/>
      <c r="E10" s="48" t="n"/>
      <c r="F10" s="48" t="n"/>
      <c r="G10" s="48" t="n"/>
      <c r="H10" s="48" t="n"/>
      <c r="I10" s="48" t="n"/>
    </row>
    <row r="11" ht="15" customHeight="1" s="30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</row>
    <row r="12" ht="15" customHeight="1" s="30">
      <c r="A12" s="48" t="n"/>
      <c r="B12" s="48" t="n"/>
      <c r="C12" s="48" t="n"/>
      <c r="D12" s="48" t="n"/>
      <c r="E12" s="48" t="n"/>
      <c r="F12" s="48" t="n"/>
      <c r="G12" s="48" t="n"/>
      <c r="H12" s="48" t="n"/>
      <c r="I12" s="48" t="n"/>
    </row>
    <row r="13" ht="15" customHeight="1" s="30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</row>
    <row r="14" ht="15" customHeight="1" s="30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</row>
    <row r="15" ht="15" customHeight="1" s="30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</row>
    <row r="16" ht="15" customHeight="1" s="30">
      <c r="A16" s="48" t="n"/>
      <c r="B16" s="48" t="n"/>
      <c r="C16" s="48" t="n"/>
      <c r="D16" s="48" t="n"/>
      <c r="E16" s="48" t="n"/>
      <c r="F16" s="48" t="n"/>
      <c r="G16" s="48" t="n"/>
      <c r="H16" s="48" t="n"/>
      <c r="I16" s="48" t="n"/>
    </row>
    <row r="17" ht="15" customHeight="1" s="30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</row>
    <row r="18" ht="15" customHeight="1" s="30">
      <c r="A18" s="48" t="n"/>
      <c r="B18" s="48" t="n"/>
      <c r="C18" s="48" t="n"/>
      <c r="D18" s="48" t="n"/>
      <c r="E18" s="48" t="n"/>
      <c r="F18" s="48" t="n"/>
      <c r="G18" s="48" t="n"/>
      <c r="H18" s="48" t="n"/>
      <c r="I18" s="48" t="n"/>
    </row>
    <row r="19" ht="15" customHeight="1" s="30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</row>
    <row r="20" ht="15" customHeight="1" s="30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8" t="n"/>
    </row>
    <row r="21" ht="15" customHeight="1" s="30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</row>
    <row r="22" ht="15" customHeight="1" s="30">
      <c r="A22" s="48" t="n"/>
      <c r="B22" s="48" t="n"/>
      <c r="C22" s="48" t="n"/>
      <c r="D22" s="48" t="n"/>
      <c r="E22" s="48" t="n"/>
      <c r="F22" s="48" t="n"/>
      <c r="G22" s="48" t="n"/>
      <c r="H22" s="48" t="n"/>
      <c r="I22" s="48" t="n"/>
    </row>
    <row r="23" ht="15" customHeight="1" s="30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</row>
    <row r="24" ht="15" customHeight="1" s="30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</row>
    <row r="25" ht="15" customHeight="1" s="30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</row>
    <row r="26" ht="15" customHeight="1" s="30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</row>
    <row r="27" ht="15" customHeight="1" s="30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</row>
    <row r="28" ht="15" customHeight="1" s="30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</row>
    <row r="29" ht="15" customHeight="1" s="30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</row>
    <row r="30" ht="15" customHeight="1" s="30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</row>
    <row r="31" ht="15" customHeight="1" s="30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</row>
    <row r="32" ht="15" customHeight="1" s="30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</row>
    <row r="33" ht="15" customHeight="1" s="30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</row>
    <row r="34" ht="15" customHeight="1" s="30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</row>
    <row r="35" ht="15" customHeight="1" s="30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</row>
    <row r="36" ht="15" customHeight="1" s="30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8" t="n"/>
    </row>
    <row r="37" ht="15" customHeight="1" s="30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</row>
    <row r="38" ht="15" customHeight="1" s="30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8" t="n"/>
    </row>
    <row r="39" ht="15" customHeight="1" s="30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</row>
    <row r="40" ht="15" customHeight="1" s="30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8" t="n"/>
    </row>
    <row r="41" ht="15" customHeight="1" s="30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</row>
    <row r="42" ht="15" customHeight="1" s="30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8" t="n"/>
    </row>
    <row r="43" ht="15" customHeight="1" s="30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</row>
    <row r="44" ht="15" customHeight="1" s="30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</row>
    <row r="45" ht="15" customHeight="1" s="30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</row>
    <row r="46" ht="15" customHeight="1" s="30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8" t="n"/>
    </row>
    <row r="47" ht="15" customHeight="1" s="30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</row>
    <row r="48" ht="15" customHeight="1" s="30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</row>
    <row r="49" ht="15" customHeight="1" s="30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</row>
    <row r="50" ht="15" customHeight="1" s="30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8" t="n"/>
    </row>
    <row r="51" ht="15" customHeight="1" s="30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</row>
    <row r="52" ht="15" customHeight="1" s="30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8" t="n"/>
    </row>
    <row r="53" ht="15" customHeight="1" s="30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</row>
    <row r="54" ht="15" customHeight="1" s="30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</row>
    <row r="55" ht="15" customHeight="1" s="30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</row>
    <row r="56" ht="15" customHeight="1" s="30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8" t="n"/>
    </row>
    <row r="57" ht="15" customHeight="1" s="30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</row>
    <row r="58" ht="15" customHeight="1" s="30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8" t="n"/>
    </row>
    <row r="59" ht="15" customHeight="1" s="30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</row>
    <row r="60" ht="15" customHeight="1" s="30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8" t="n"/>
    </row>
    <row r="61" ht="15" customHeight="1" s="30">
      <c r="A61" s="48" t="n"/>
      <c r="B61" s="48" t="n"/>
      <c r="C61" s="48" t="n"/>
      <c r="D61" s="48" t="n"/>
      <c r="E61" s="48" t="n"/>
      <c r="F61" s="48" t="n"/>
      <c r="G61" s="48" t="n"/>
      <c r="H61" s="48" t="n"/>
      <c r="I61" s="48" t="n"/>
    </row>
    <row r="62" ht="15" customHeight="1" s="30">
      <c r="A62" s="48" t="n"/>
      <c r="B62" s="48" t="n"/>
      <c r="C62" s="48" t="n"/>
      <c r="D62" s="48" t="n"/>
      <c r="E62" s="48" t="n"/>
      <c r="F62" s="48" t="n"/>
      <c r="G62" s="48" t="n"/>
      <c r="H62" s="48" t="n"/>
      <c r="I62" s="48" t="n"/>
    </row>
    <row r="63" ht="15" customHeight="1" s="30">
      <c r="A63" s="48" t="n"/>
      <c r="B63" s="48" t="n"/>
      <c r="C63" s="48" t="n"/>
      <c r="D63" s="48" t="n"/>
      <c r="E63" s="48" t="n"/>
      <c r="F63" s="48" t="n"/>
      <c r="G63" s="48" t="n"/>
      <c r="H63" s="48" t="n"/>
      <c r="I63" s="48" t="n"/>
    </row>
    <row r="64" ht="15" customHeight="1" s="30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</row>
  </sheetData>
  <autoFilter ref="A4:I64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filterMode="0">
    <tabColor rgb="FF24606C"/>
    <outlinePr summaryBelow="1" summaryRight="1"/>
    <pageSetUpPr fitToPage="0"/>
  </sheetPr>
  <dimension ref="A1:E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29" min="1" max="1"/>
    <col width="28" customWidth="1" style="29" min="2" max="2"/>
    <col width="70" customWidth="1" style="29" min="3" max="3"/>
    <col width="14" customWidth="1" style="29" min="4" max="4"/>
    <col width="46" customWidth="1" style="29" min="5" max="5"/>
  </cols>
  <sheetData>
    <row r="1" ht="19.7" customHeight="1" s="30">
      <c r="A1" s="31" t="inlineStr">
        <is>
          <t>Reglas de emparejamiento y códigos de concepto</t>
        </is>
      </c>
    </row>
    <row r="2" ht="15" customHeight="1" s="30">
      <c r="A2" s="32" t="inlineStr">
        <is>
          <t>Se aplican en orden. Una regla solo propone; la aplicación siempre requiere aprobación.</t>
        </is>
      </c>
    </row>
    <row r="4" ht="15" customHeight="1" s="30">
      <c r="A4" s="38" t="inlineStr">
        <is>
          <t>Regla</t>
        </is>
      </c>
      <c r="B4" s="38" t="inlineStr">
        <is>
          <t>Nombre</t>
        </is>
      </c>
      <c r="C4" s="38" t="inlineStr">
        <is>
          <t>Criterio</t>
        </is>
      </c>
      <c r="D4" s="38" t="inlineStr">
        <is>
          <t>Confianza base</t>
        </is>
      </c>
      <c r="E4" s="38" t="inlineStr">
        <is>
          <t>Tratamiento</t>
        </is>
      </c>
    </row>
    <row r="5" ht="23.85" customHeight="1" s="30">
      <c r="A5" s="58" t="inlineStr">
        <is>
          <t>R01</t>
        </is>
      </c>
      <c r="B5" s="48" t="inlineStr">
        <is>
          <t>Referencia exacta</t>
        </is>
      </c>
      <c r="C5" s="48" t="inlineStr">
        <is>
          <t>UUID, folio o número de factura presente en el concepto o referencia del banco, con importe igual al saldo</t>
        </is>
      </c>
      <c r="D5" s="48" t="inlineStr">
        <is>
          <t>Alta</t>
        </is>
      </c>
      <c r="E5" s="48" t="inlineStr">
        <is>
          <t>Conciliar contra el documento</t>
        </is>
      </c>
    </row>
    <row r="6" ht="23.85" customHeight="1" s="30">
      <c r="A6" s="58" t="inlineStr">
        <is>
          <t>R02</t>
        </is>
      </c>
      <c r="B6" s="48" t="inlineStr">
        <is>
          <t>RFC en el concepto</t>
        </is>
      </c>
      <c r="C6" s="48" t="inlineStr">
        <is>
          <t>RFC detectado en el texto del banco que corresponde a un solo partner, con documento abierto por el mismo importe</t>
        </is>
      </c>
      <c r="D6" s="48" t="inlineStr">
        <is>
          <t>Alta</t>
        </is>
      </c>
      <c r="E6" s="48" t="inlineStr">
        <is>
          <t>Conciliar contra el documento</t>
        </is>
      </c>
    </row>
    <row r="7" ht="23.85" customHeight="1" s="30">
      <c r="A7" s="58" t="inlineStr">
        <is>
          <t>R03</t>
        </is>
      </c>
      <c r="B7" s="48" t="inlineStr">
        <is>
          <t>Importe y fecha</t>
        </is>
      </c>
      <c r="C7" s="48" t="inlineStr">
        <is>
          <t>Importe exacto, mismo partner por nombre normalizado y fecha dentro de la ventana</t>
        </is>
      </c>
      <c r="D7" s="48" t="inlineStr">
        <is>
          <t>Media</t>
        </is>
      </c>
      <c r="E7" s="48" t="inlineStr">
        <is>
          <t>Conciliar; si hay dos candidatos, pasa a 05_Sin_Match</t>
        </is>
      </c>
    </row>
    <row r="8" ht="23.85" customHeight="1" s="30">
      <c r="A8" s="58" t="inlineStr">
        <is>
          <t>R04</t>
        </is>
      </c>
      <c r="B8" s="48" t="inlineStr">
        <is>
          <t>Un pago, varias facturas</t>
        </is>
      </c>
      <c r="C8" s="48" t="inlineStr">
        <is>
          <t>Suma exacta de facturas abiertas del mismo partner igual al movimiento (1:N, búsqueda por subconjuntos acotada)</t>
        </is>
      </c>
      <c r="D8" s="48" t="inlineStr">
        <is>
          <t>Media</t>
        </is>
      </c>
      <c r="E8" s="48" t="inlineStr">
        <is>
          <t>Conciliar el movimiento contra todas las facturas</t>
        </is>
      </c>
    </row>
    <row r="9" ht="23.85" customHeight="1" s="30">
      <c r="A9" s="58" t="inlineStr">
        <is>
          <t>R05</t>
        </is>
      </c>
      <c r="B9" s="48" t="inlineStr">
        <is>
          <t>Varios pagos, una factura</t>
        </is>
      </c>
      <c r="C9" s="48" t="inlineStr">
        <is>
          <t>Parcialidades que suman el total o dejan saldo; apoyarse en NumParcialidad del REP</t>
        </is>
      </c>
      <c r="D9" s="48" t="inlineStr">
        <is>
          <t>Media</t>
        </is>
      </c>
      <c r="E9" s="48" t="inlineStr">
        <is>
          <t>Conciliar cada movimiento; saldo restante queda abierto</t>
        </is>
      </c>
    </row>
    <row r="10" ht="23.85" customHeight="1" s="30">
      <c r="A10" s="58" t="inlineStr">
        <is>
          <t>R06</t>
        </is>
      </c>
      <c r="B10" s="48" t="inlineStr">
        <is>
          <t>Terminal punto de venta</t>
        </is>
      </c>
      <c r="C10" s="48" t="inlineStr">
        <is>
          <t>Venta bruta (V42/V45) con comisión (V43/V46) e IVA (V44/V47) de la misma referencia</t>
        </is>
      </c>
      <c r="D10" s="48" t="inlineStr">
        <is>
          <t>Media</t>
        </is>
      </c>
      <c r="E10" s="48" t="inlineStr">
        <is>
          <t>Cobro al cliente por el bruto; comisión e IVA a 06_Ajustes</t>
        </is>
      </c>
    </row>
    <row r="11" ht="15" customHeight="1" s="30">
      <c r="A11" s="58" t="inlineStr">
        <is>
          <t>R07</t>
        </is>
      </c>
      <c r="B11" s="48" t="inlineStr">
        <is>
          <t>Diferencia de centavos</t>
        </is>
      </c>
      <c r="C11" s="48" t="inlineStr">
        <is>
          <t>Diferencia menor o igual a la tolerancia de 00_Parametros</t>
        </is>
      </c>
      <c r="D11" s="48" t="inlineStr">
        <is>
          <t>Alta</t>
        </is>
      </c>
      <c r="E11" s="48" t="inlineStr">
        <is>
          <t>Redondeo a otros ingresos o gastos</t>
        </is>
      </c>
    </row>
    <row r="12" ht="23.85" customHeight="1" s="30">
      <c r="A12" s="58" t="inlineStr">
        <is>
          <t>R08</t>
        </is>
      </c>
      <c r="B12" s="48" t="inlineStr">
        <is>
          <t>Pago al SAT</t>
        </is>
      </c>
      <c r="C12" s="48" t="inlineStr">
        <is>
          <t>Código P14 contra acuse: número de operación, línea de captura o importe total del acuse</t>
        </is>
      </c>
      <c r="D12" s="48" t="inlineStr">
        <is>
          <t>Alta</t>
        </is>
      </c>
      <c r="E12" s="48" t="inlineStr">
        <is>
          <t>Desglose en 07_Impuestos: impuesto, recargos, actualización</t>
        </is>
      </c>
    </row>
    <row r="13" ht="23.85" customHeight="1" s="30">
      <c r="A13" s="58" t="inlineStr">
        <is>
          <t>R09</t>
        </is>
      </c>
      <c r="B13" s="48" t="inlineStr">
        <is>
          <t>Comisiones bancarias</t>
        </is>
      </c>
      <c r="C13" s="48" t="inlineStr">
        <is>
          <t>Códigos V43/V46/S39 y sus IVA V44/V47/S40</t>
        </is>
      </c>
      <c r="D13" s="48" t="inlineStr">
        <is>
          <t>Alta</t>
        </is>
      </c>
      <c r="E13" s="48" t="inlineStr">
        <is>
          <t>Comisión a 701.10.01; IVA acreditable solo con CFDI, si no a 601.83.01</t>
        </is>
      </c>
    </row>
    <row r="14" ht="23.85" customHeight="1" s="30">
      <c r="A14" s="58" t="inlineStr">
        <is>
          <t>R10</t>
        </is>
      </c>
      <c r="B14" s="48" t="inlineStr">
        <is>
          <t>Compra con tarjeta</t>
        </is>
      </c>
      <c r="C14" s="48" t="inlineStr">
        <is>
          <t>Código A15; buscar factura del comercio por RFC o importe</t>
        </is>
      </c>
      <c r="D14" s="48" t="inlineStr">
        <is>
          <t>Media</t>
        </is>
      </c>
      <c r="E14" s="48" t="inlineStr">
        <is>
          <t>Contra la factura; sin CFDI, a no deducibles con aprobación</t>
        </is>
      </c>
    </row>
    <row r="15" ht="23.85" customHeight="1" s="30">
      <c r="A15" s="58" t="inlineStr">
        <is>
          <t>R11</t>
        </is>
      </c>
      <c r="B15" s="48" t="inlineStr">
        <is>
          <t>Reembolso a socio</t>
        </is>
      </c>
      <c r="C15" s="48" t="inlineStr">
        <is>
          <t>Transferencia a cuenta de un socio (N06/N05) que corresponde a gastos pagados con su tarjeta</t>
        </is>
      </c>
      <c r="D15" s="48" t="inlineStr">
        <is>
          <t>Media</t>
        </is>
      </c>
      <c r="E15" s="48" t="inlineStr">
        <is>
          <t>Cargo al acreedor del socio</t>
        </is>
      </c>
    </row>
    <row r="16" ht="23.85" customHeight="1" s="30">
      <c r="A16" s="58" t="inlineStr">
        <is>
          <t>R12</t>
        </is>
      </c>
      <c r="B16" s="48" t="inlineStr">
        <is>
          <t>Transferencia entre cuentas propias</t>
        </is>
      </c>
      <c r="C16" s="48" t="inlineStr">
        <is>
          <t>Mismo importe saliendo de un diario y entrando a otro de la empresa</t>
        </is>
      </c>
      <c r="D16" s="48" t="inlineStr">
        <is>
          <t>Media</t>
        </is>
      </c>
      <c r="E16" s="48" t="inlineStr">
        <is>
          <t>Cuenta de fondos en tránsito</t>
        </is>
      </c>
    </row>
    <row r="17" ht="23.85" customHeight="1" s="30">
      <c r="A17" s="58" t="inlineStr">
        <is>
          <t>R13</t>
        </is>
      </c>
      <c r="B17" s="48" t="inlineStr">
        <is>
          <t>Depósito no identificado</t>
        </is>
      </c>
      <c r="C17" s="48" t="inlineStr">
        <is>
          <t>Abono sin partner ni documento después de R01 a R12</t>
        </is>
      </c>
      <c r="D17" s="48" t="inlineStr">
        <is>
          <t>Baja</t>
        </is>
      </c>
      <c r="E17" s="48" t="inlineStr">
        <is>
          <t>Pregunta en 05_Sin_Match; por defecto otros ingresos o cobro por identificar</t>
        </is>
      </c>
    </row>
    <row r="18" ht="23.85" customHeight="1" s="30">
      <c r="A18" s="58" t="inlineStr">
        <is>
          <t>R14</t>
        </is>
      </c>
      <c r="B18" s="48" t="inlineStr">
        <is>
          <t>Ambigüedad</t>
        </is>
      </c>
      <c r="C18" s="48" t="inlineStr">
        <is>
          <t>Dos o más candidatos con mismo importe, fecha y partner</t>
        </is>
      </c>
      <c r="D18" s="48" t="inlineStr">
        <is>
          <t>Baja</t>
        </is>
      </c>
      <c r="E18" s="48" t="inlineStr">
        <is>
          <t>Nunca se asigna sola; se usa folio, hora de timbrado o se pregunta</t>
        </is>
      </c>
    </row>
    <row r="21" ht="15" customHeight="1" s="30">
      <c r="A21" s="56" t="inlineStr">
        <is>
          <t>Códigos BBVA observados</t>
        </is>
      </c>
    </row>
    <row r="22" ht="15" customHeight="1" s="30">
      <c r="A22" s="38" t="inlineStr">
        <is>
          <t>Código</t>
        </is>
      </c>
      <c r="B22" s="38" t="inlineStr">
        <is>
          <t>Significado</t>
        </is>
      </c>
      <c r="C22" s="38" t="inlineStr">
        <is>
          <t>Tratamiento habitual</t>
        </is>
      </c>
    </row>
    <row r="23" ht="15" customHeight="1" s="30">
      <c r="A23" s="48" t="inlineStr">
        <is>
          <t>T20</t>
        </is>
      </c>
      <c r="B23" s="48" t="inlineStr">
        <is>
          <t>SPEI recibido</t>
        </is>
      </c>
      <c r="C23" s="48" t="inlineStr">
        <is>
          <t>Cobro de cliente</t>
        </is>
      </c>
    </row>
    <row r="24" ht="23.85" customHeight="1" s="30">
      <c r="A24" s="48" t="inlineStr">
        <is>
          <t>T17</t>
        </is>
      </c>
      <c r="B24" s="48" t="inlineStr">
        <is>
          <t>SPEI enviado (puede traer RFC)</t>
        </is>
      </c>
      <c r="C24" s="48" t="inlineStr">
        <is>
          <t>Pago a proveedor</t>
        </is>
      </c>
    </row>
    <row r="25" ht="23.85" customHeight="1" s="30">
      <c r="A25" s="48" t="inlineStr">
        <is>
          <t>N06</t>
        </is>
      </c>
      <c r="B25" s="48" t="inlineStr">
        <is>
          <t>Pago cuenta de tercero BBVA (puede traer RFC e IVA)</t>
        </is>
      </c>
      <c r="C25" s="48" t="inlineStr">
        <is>
          <t>Proveedor o reembolso a socio</t>
        </is>
      </c>
    </row>
    <row r="26" ht="15" customHeight="1" s="30">
      <c r="A26" s="48" t="inlineStr">
        <is>
          <t>N05</t>
        </is>
      </c>
      <c r="B26" s="48" t="inlineStr">
        <is>
          <t>Pago tarjeta de terceros</t>
        </is>
      </c>
      <c r="C26" s="48" t="inlineStr">
        <is>
          <t>Revisar si es tarjeta de socio</t>
        </is>
      </c>
    </row>
    <row r="27" ht="23.85" customHeight="1" s="30">
      <c r="A27" s="48" t="inlineStr">
        <is>
          <t>A15</t>
        </is>
      </c>
      <c r="B27" s="48" t="inlineStr">
        <is>
          <t>Compra con tarjeta de débito de la empresa</t>
        </is>
      </c>
      <c r="C27" s="48" t="inlineStr">
        <is>
          <t>Factura del comercio; sin CFDI no deducible</t>
        </is>
      </c>
    </row>
    <row r="28" ht="15" customHeight="1" s="30">
      <c r="A28" s="48" t="inlineStr">
        <is>
          <t>P14</t>
        </is>
      </c>
      <c r="B28" s="48" t="inlineStr">
        <is>
          <t>Pago de impuestos al SAT</t>
        </is>
      </c>
      <c r="C28" s="48" t="inlineStr">
        <is>
          <t>07_Impuestos</t>
        </is>
      </c>
    </row>
    <row r="29" ht="23.85" customHeight="1" s="30">
      <c r="A29" s="48" t="inlineStr">
        <is>
          <t>V42 / V45</t>
        </is>
      </c>
      <c r="B29" s="48" t="inlineStr">
        <is>
          <t>Ventas con terminal, débito o crédito</t>
        </is>
      </c>
      <c r="C29" s="48" t="inlineStr">
        <is>
          <t>Cobro a clientes</t>
        </is>
      </c>
    </row>
    <row r="30" ht="23.85" customHeight="1" s="30">
      <c r="A30" s="48" t="inlineStr">
        <is>
          <t>V43 / V46</t>
        </is>
      </c>
      <c r="B30" s="48" t="inlineStr">
        <is>
          <t>Comisión de terminal</t>
        </is>
      </c>
      <c r="C30" s="48" t="inlineStr">
        <is>
          <t>701.10.01</t>
        </is>
      </c>
    </row>
    <row r="31" ht="23.85" customHeight="1" s="30">
      <c r="A31" s="48" t="inlineStr">
        <is>
          <t>V44 / V47</t>
        </is>
      </c>
      <c r="B31" s="48" t="inlineStr">
        <is>
          <t>IVA de comisión de terminal</t>
        </is>
      </c>
      <c r="C31" s="48" t="inlineStr">
        <is>
          <t>Acreditable con CFDI, si no 601.83.01</t>
        </is>
      </c>
    </row>
    <row r="32" ht="23.85" customHeight="1" s="30">
      <c r="A32" s="48" t="inlineStr">
        <is>
          <t>S39 / S40</t>
        </is>
      </c>
      <c r="B32" s="48" t="inlineStr">
        <is>
          <t>Comisión banca por internet e IVA</t>
        </is>
      </c>
      <c r="C32" s="48" t="inlineStr">
        <is>
          <t>Igual que comisiones</t>
        </is>
      </c>
    </row>
    <row r="33" ht="15" customHeight="1" s="30">
      <c r="A33" s="48" t="inlineStr">
        <is>
          <t>K08</t>
        </is>
      </c>
      <c r="B33" s="48" t="inlineStr">
        <is>
          <t>Domiciliación</t>
        </is>
      </c>
      <c r="C33" s="48" t="inlineStr">
        <is>
          <t>Proveedor por RFC en la referencia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2026-09-28T20:52:29Z</dcterms:created>
  <dcterms:modified xmlns:dcterms="http://purl.org/dc/terms/" xmlns:xsi="http://www.w3.org/2001/XMLSchema-instance" xsi:type="dcterms:W3CDTF">2026-09-28T23:50:49Z</dcterms:modified>
  <cp:revision>0</cp:revision>
</cp:coreProperties>
</file>